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192" activeTab="2"/>
  </bookViews>
  <sheets>
    <sheet name="Lớp" sheetId="1" r:id="rId1"/>
    <sheet name="Điểm danh HK1" sheetId="2" r:id="rId2"/>
    <sheet name="Điểm HK1" sheetId="3" r:id="rId3"/>
    <sheet name="Dữ liệu thiếu nhi" sheetId="4" state="hidden" r:id="rId4"/>
  </sheets>
  <calcPr calcId="162913"/>
</workbook>
</file>

<file path=xl/calcChain.xml><?xml version="1.0" encoding="utf-8"?>
<calcChain xmlns="http://schemas.openxmlformats.org/spreadsheetml/2006/main">
  <c r="A57" i="3" l="1"/>
  <c r="BF55" i="2"/>
  <c r="BG55" i="2"/>
  <c r="BH55" i="2"/>
  <c r="A55" i="1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J57" i="3"/>
  <c r="J56" i="3"/>
  <c r="A56" i="3"/>
  <c r="J55" i="3"/>
  <c r="A55" i="3"/>
  <c r="J54" i="3"/>
  <c r="A54" i="3"/>
  <c r="J53" i="3"/>
  <c r="A53" i="3"/>
  <c r="J52" i="3"/>
  <c r="A52" i="3"/>
  <c r="J51" i="3"/>
  <c r="A51" i="3"/>
  <c r="J50" i="3"/>
  <c r="A50" i="3"/>
  <c r="J49" i="3"/>
  <c r="A49" i="3"/>
  <c r="J48" i="3"/>
  <c r="A48" i="3"/>
  <c r="J47" i="3"/>
  <c r="A47" i="3"/>
  <c r="J46" i="3"/>
  <c r="A46" i="3"/>
  <c r="J45" i="3"/>
  <c r="A45" i="3"/>
  <c r="J44" i="3"/>
  <c r="A44" i="3"/>
  <c r="J43" i="3"/>
  <c r="A43" i="3"/>
  <c r="J42" i="3"/>
  <c r="A42" i="3"/>
  <c r="J41" i="3"/>
  <c r="A41" i="3"/>
  <c r="J40" i="3"/>
  <c r="A40" i="3"/>
  <c r="J39" i="3"/>
  <c r="A39" i="3"/>
  <c r="J38" i="3"/>
  <c r="A38" i="3"/>
  <c r="J37" i="3"/>
  <c r="A37" i="3"/>
  <c r="J36" i="3"/>
  <c r="A36" i="3"/>
  <c r="J35" i="3"/>
  <c r="A35" i="3"/>
  <c r="J34" i="3"/>
  <c r="A34" i="3"/>
  <c r="J33" i="3"/>
  <c r="A33" i="3"/>
  <c r="J32" i="3"/>
  <c r="A32" i="3"/>
  <c r="J31" i="3"/>
  <c r="A31" i="3"/>
  <c r="J30" i="3"/>
  <c r="A30" i="3"/>
  <c r="J29" i="3"/>
  <c r="A29" i="3"/>
  <c r="J28" i="3"/>
  <c r="A28" i="3"/>
  <c r="J27" i="3"/>
  <c r="A27" i="3"/>
  <c r="J26" i="3"/>
  <c r="A26" i="3"/>
  <c r="J25" i="3"/>
  <c r="A25" i="3"/>
  <c r="J24" i="3"/>
  <c r="A24" i="3"/>
  <c r="J23" i="3"/>
  <c r="A23" i="3"/>
  <c r="J22" i="3"/>
  <c r="A22" i="3"/>
  <c r="J21" i="3"/>
  <c r="A21" i="3"/>
  <c r="J20" i="3"/>
  <c r="A20" i="3"/>
  <c r="J19" i="3"/>
  <c r="A19" i="3"/>
  <c r="J18" i="3"/>
  <c r="A18" i="3"/>
  <c r="J17" i="3"/>
  <c r="A17" i="3"/>
  <c r="J16" i="3"/>
  <c r="A16" i="3"/>
  <c r="J15" i="3"/>
  <c r="A15" i="3"/>
  <c r="J14" i="3"/>
  <c r="A14" i="3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BH54" i="2"/>
  <c r="BG54" i="2"/>
  <c r="BF54" i="2"/>
  <c r="BH53" i="2"/>
  <c r="BG53" i="2"/>
  <c r="BF53" i="2"/>
  <c r="BH52" i="2"/>
  <c r="BG52" i="2"/>
  <c r="BF52" i="2"/>
  <c r="BH51" i="2"/>
  <c r="BG51" i="2"/>
  <c r="BF51" i="2"/>
  <c r="BH50" i="2"/>
  <c r="BG50" i="2"/>
  <c r="BF50" i="2"/>
  <c r="BH49" i="2"/>
  <c r="BG49" i="2"/>
  <c r="BF49" i="2"/>
  <c r="BH48" i="2"/>
  <c r="BG48" i="2"/>
  <c r="BF48" i="2"/>
  <c r="BH47" i="2"/>
  <c r="BG47" i="2"/>
  <c r="BF47" i="2"/>
  <c r="BH46" i="2"/>
  <c r="BI46" i="2" s="1"/>
  <c r="BJ46" i="2" s="1"/>
  <c r="K48" i="3" s="1"/>
  <c r="BG46" i="2"/>
  <c r="BF46" i="2"/>
  <c r="BH45" i="2"/>
  <c r="BG45" i="2"/>
  <c r="BF45" i="2"/>
  <c r="BH44" i="2"/>
  <c r="BG44" i="2"/>
  <c r="BF44" i="2"/>
  <c r="BH43" i="2"/>
  <c r="BG43" i="2"/>
  <c r="BF43" i="2"/>
  <c r="BH42" i="2"/>
  <c r="BG42" i="2"/>
  <c r="BF42" i="2"/>
  <c r="BH41" i="2"/>
  <c r="BG41" i="2"/>
  <c r="BF41" i="2"/>
  <c r="BH40" i="2"/>
  <c r="BG40" i="2"/>
  <c r="BF40" i="2"/>
  <c r="BH39" i="2"/>
  <c r="BG39" i="2"/>
  <c r="BF39" i="2"/>
  <c r="BH38" i="2"/>
  <c r="BG38" i="2"/>
  <c r="BF38" i="2"/>
  <c r="BH37" i="2"/>
  <c r="BG37" i="2"/>
  <c r="BF37" i="2"/>
  <c r="BH36" i="2"/>
  <c r="BI36" i="2" s="1"/>
  <c r="BJ36" i="2" s="1"/>
  <c r="K38" i="3" s="1"/>
  <c r="BG36" i="2"/>
  <c r="BF36" i="2"/>
  <c r="BH35" i="2"/>
  <c r="BG35" i="2"/>
  <c r="BF35" i="2"/>
  <c r="BI35" i="2" s="1"/>
  <c r="BJ35" i="2" s="1"/>
  <c r="K37" i="3" s="1"/>
  <c r="L37" i="3" s="1"/>
  <c r="BH34" i="2"/>
  <c r="BG34" i="2"/>
  <c r="BF34" i="2"/>
  <c r="BI34" i="2" s="1"/>
  <c r="BJ34" i="2" s="1"/>
  <c r="K36" i="3" s="1"/>
  <c r="BH33" i="2"/>
  <c r="BG33" i="2"/>
  <c r="BF33" i="2"/>
  <c r="BH32" i="2"/>
  <c r="BG32" i="2"/>
  <c r="BF32" i="2"/>
  <c r="BI32" i="2" s="1"/>
  <c r="BJ32" i="2" s="1"/>
  <c r="K34" i="3" s="1"/>
  <c r="BH31" i="2"/>
  <c r="BG31" i="2"/>
  <c r="BF31" i="2"/>
  <c r="BH30" i="2"/>
  <c r="BG30" i="2"/>
  <c r="BF30" i="2"/>
  <c r="BH29" i="2"/>
  <c r="BG29" i="2"/>
  <c r="BF29" i="2"/>
  <c r="BH28" i="2"/>
  <c r="BG28" i="2"/>
  <c r="BF28" i="2"/>
  <c r="BH27" i="2"/>
  <c r="BG27" i="2"/>
  <c r="BF27" i="2"/>
  <c r="BH26" i="2"/>
  <c r="BG26" i="2"/>
  <c r="BF26" i="2"/>
  <c r="BH25" i="2"/>
  <c r="BG25" i="2"/>
  <c r="BF25" i="2"/>
  <c r="BH24" i="2"/>
  <c r="BG24" i="2"/>
  <c r="BF24" i="2"/>
  <c r="BH23" i="2"/>
  <c r="BG23" i="2"/>
  <c r="BF23" i="2"/>
  <c r="BH22" i="2"/>
  <c r="BG22" i="2"/>
  <c r="BF22" i="2"/>
  <c r="BH21" i="2"/>
  <c r="BG21" i="2"/>
  <c r="BF21" i="2"/>
  <c r="BH20" i="2"/>
  <c r="BG20" i="2"/>
  <c r="BF20" i="2"/>
  <c r="BH19" i="2"/>
  <c r="BG19" i="2"/>
  <c r="BF19" i="2"/>
  <c r="BH18" i="2"/>
  <c r="BG18" i="2"/>
  <c r="BF18" i="2"/>
  <c r="BH17" i="2"/>
  <c r="BG17" i="2"/>
  <c r="BF17" i="2"/>
  <c r="BH16" i="2"/>
  <c r="BG16" i="2"/>
  <c r="BF16" i="2"/>
  <c r="BH15" i="2"/>
  <c r="BG15" i="2"/>
  <c r="BF15" i="2"/>
  <c r="BH14" i="2"/>
  <c r="BG14" i="2"/>
  <c r="BF14" i="2"/>
  <c r="BH13" i="2"/>
  <c r="BG13" i="2"/>
  <c r="BF13" i="2"/>
  <c r="BH12" i="2"/>
  <c r="BG12" i="2"/>
  <c r="BF12" i="2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BI14" i="2" l="1"/>
  <c r="BJ14" i="2" s="1"/>
  <c r="K16" i="3" s="1"/>
  <c r="L16" i="3" s="1"/>
  <c r="BI41" i="2"/>
  <c r="BJ41" i="2" s="1"/>
  <c r="K43" i="3" s="1"/>
  <c r="L43" i="3" s="1"/>
  <c r="BI43" i="2"/>
  <c r="BJ43" i="2" s="1"/>
  <c r="K45" i="3" s="1"/>
  <c r="L45" i="3" s="1"/>
  <c r="BI45" i="2"/>
  <c r="BJ45" i="2" s="1"/>
  <c r="K47" i="3" s="1"/>
  <c r="L47" i="3" s="1"/>
  <c r="BI12" i="2"/>
  <c r="BJ12" i="2" s="1"/>
  <c r="K14" i="3" s="1"/>
  <c r="L14" i="3" s="1"/>
  <c r="BI13" i="2"/>
  <c r="BJ13" i="2" s="1"/>
  <c r="K15" i="3" s="1"/>
  <c r="BI24" i="2"/>
  <c r="BJ24" i="2" s="1"/>
  <c r="K26" i="3" s="1"/>
  <c r="L26" i="3" s="1"/>
  <c r="BI52" i="2"/>
  <c r="BJ52" i="2" s="1"/>
  <c r="K54" i="3" s="1"/>
  <c r="L54" i="3" s="1"/>
  <c r="BI54" i="2"/>
  <c r="BJ54" i="2" s="1"/>
  <c r="K56" i="3" s="1"/>
  <c r="L56" i="3" s="1"/>
  <c r="BI55" i="2"/>
  <c r="BJ55" i="2" s="1"/>
  <c r="K57" i="3" s="1"/>
  <c r="BI19" i="2"/>
  <c r="BJ19" i="2" s="1"/>
  <c r="K21" i="3" s="1"/>
  <c r="L21" i="3" s="1"/>
  <c r="BI21" i="2"/>
  <c r="BJ21" i="2" s="1"/>
  <c r="K23" i="3" s="1"/>
  <c r="L23" i="3" s="1"/>
  <c r="BI23" i="2"/>
  <c r="BJ23" i="2" s="1"/>
  <c r="K25" i="3" s="1"/>
  <c r="L25" i="3" s="1"/>
  <c r="L38" i="3"/>
  <c r="L34" i="3"/>
  <c r="L36" i="3"/>
  <c r="L48" i="3"/>
  <c r="BI16" i="2"/>
  <c r="BJ16" i="2" s="1"/>
  <c r="K18" i="3" s="1"/>
  <c r="BI26" i="2"/>
  <c r="BJ26" i="2" s="1"/>
  <c r="K28" i="3" s="1"/>
  <c r="L28" i="3" s="1"/>
  <c r="BI28" i="2"/>
  <c r="BJ28" i="2" s="1"/>
  <c r="K30" i="3" s="1"/>
  <c r="L30" i="3" s="1"/>
  <c r="BI38" i="2"/>
  <c r="BJ38" i="2" s="1"/>
  <c r="K40" i="3" s="1"/>
  <c r="L40" i="3" s="1"/>
  <c r="BI48" i="2"/>
  <c r="BJ48" i="2" s="1"/>
  <c r="K50" i="3" s="1"/>
  <c r="L50" i="3" s="1"/>
  <c r="BI49" i="2"/>
  <c r="BJ49" i="2" s="1"/>
  <c r="K51" i="3" s="1"/>
  <c r="L51" i="3" s="1"/>
  <c r="BI15" i="2"/>
  <c r="BJ15" i="2" s="1"/>
  <c r="K17" i="3" s="1"/>
  <c r="L17" i="3" s="1"/>
  <c r="BI18" i="2"/>
  <c r="BJ18" i="2" s="1"/>
  <c r="K20" i="3" s="1"/>
  <c r="L20" i="3" s="1"/>
  <c r="BI20" i="2"/>
  <c r="BJ20" i="2" s="1"/>
  <c r="K22" i="3" s="1"/>
  <c r="L22" i="3" s="1"/>
  <c r="BI25" i="2"/>
  <c r="BJ25" i="2" s="1"/>
  <c r="K27" i="3" s="1"/>
  <c r="L27" i="3" s="1"/>
  <c r="BI30" i="2"/>
  <c r="BJ30" i="2" s="1"/>
  <c r="K32" i="3" s="1"/>
  <c r="L32" i="3" s="1"/>
  <c r="BI31" i="2"/>
  <c r="BJ31" i="2" s="1"/>
  <c r="K33" i="3" s="1"/>
  <c r="L33" i="3" s="1"/>
  <c r="BI37" i="2"/>
  <c r="BJ37" i="2" s="1"/>
  <c r="K39" i="3" s="1"/>
  <c r="L39" i="3" s="1"/>
  <c r="BI40" i="2"/>
  <c r="BJ40" i="2" s="1"/>
  <c r="K42" i="3" s="1"/>
  <c r="L42" i="3" s="1"/>
  <c r="BI42" i="2"/>
  <c r="BJ42" i="2" s="1"/>
  <c r="K44" i="3" s="1"/>
  <c r="L44" i="3" s="1"/>
  <c r="BI47" i="2"/>
  <c r="BJ47" i="2" s="1"/>
  <c r="K49" i="3" s="1"/>
  <c r="L49" i="3" s="1"/>
  <c r="BI51" i="2"/>
  <c r="BJ51" i="2" s="1"/>
  <c r="K53" i="3" s="1"/>
  <c r="L53" i="3" s="1"/>
  <c r="BI17" i="2"/>
  <c r="BJ17" i="2" s="1"/>
  <c r="K19" i="3" s="1"/>
  <c r="L19" i="3" s="1"/>
  <c r="BI22" i="2"/>
  <c r="BJ22" i="2" s="1"/>
  <c r="K24" i="3" s="1"/>
  <c r="L24" i="3" s="1"/>
  <c r="BI27" i="2"/>
  <c r="BJ27" i="2" s="1"/>
  <c r="K29" i="3" s="1"/>
  <c r="L29" i="3" s="1"/>
  <c r="BI29" i="2"/>
  <c r="BJ29" i="2" s="1"/>
  <c r="K31" i="3" s="1"/>
  <c r="L31" i="3" s="1"/>
  <c r="BI33" i="2"/>
  <c r="BJ33" i="2" s="1"/>
  <c r="K35" i="3" s="1"/>
  <c r="L35" i="3" s="1"/>
  <c r="BI39" i="2"/>
  <c r="BJ39" i="2" s="1"/>
  <c r="K41" i="3" s="1"/>
  <c r="L41" i="3" s="1"/>
  <c r="BI44" i="2"/>
  <c r="BJ44" i="2" s="1"/>
  <c r="K46" i="3" s="1"/>
  <c r="L46" i="3" s="1"/>
  <c r="BI50" i="2"/>
  <c r="BJ50" i="2" s="1"/>
  <c r="K52" i="3" s="1"/>
  <c r="L52" i="3" s="1"/>
  <c r="BI53" i="2"/>
  <c r="BJ53" i="2" s="1"/>
  <c r="K55" i="3" s="1"/>
  <c r="L55" i="3" s="1"/>
  <c r="L57" i="3"/>
  <c r="L15" i="3"/>
  <c r="L18" i="3"/>
</calcChain>
</file>

<file path=xl/sharedStrings.xml><?xml version="1.0" encoding="utf-8"?>
<sst xmlns="http://schemas.openxmlformats.org/spreadsheetml/2006/main" count="1387" uniqueCount="482">
  <si>
    <t>Giáo xứ Chợ Cầu</t>
  </si>
  <si>
    <t>Xứ đoàn Giáo Hoàng Phaolô VI</t>
  </si>
  <si>
    <t>Năm Học 2025-2026</t>
  </si>
  <si>
    <t>U</t>
  </si>
  <si>
    <t>Giáo Lý Viên:</t>
  </si>
  <si>
    <t>Giuse Nguyễn Duy Phúc</t>
  </si>
  <si>
    <t>Têrêsa Lã Ngọc Phương Vy</t>
  </si>
  <si>
    <t>STT</t>
  </si>
  <si>
    <t>MSTN</t>
  </si>
  <si>
    <t>Tên Thánh</t>
  </si>
  <si>
    <t>Họ và Tên (TN1C)</t>
  </si>
  <si>
    <t>Ngày sinh</t>
  </si>
  <si>
    <t>Ghi chú</t>
  </si>
  <si>
    <t>2022/003</t>
  </si>
  <si>
    <t>Isave</t>
  </si>
  <si>
    <t>Nguyễn Gia</t>
  </si>
  <si>
    <t>An</t>
  </si>
  <si>
    <t>2024/093</t>
  </si>
  <si>
    <t>Cecilia</t>
  </si>
  <si>
    <t>Đinh Ngọc Quỳnh</t>
  </si>
  <si>
    <t>Anh</t>
  </si>
  <si>
    <t>2022/011</t>
  </si>
  <si>
    <t>Maria</t>
  </si>
  <si>
    <t>Lê Ngọc</t>
  </si>
  <si>
    <t>2023/011</t>
  </si>
  <si>
    <t>Matta</t>
  </si>
  <si>
    <t>Nguyễn Hoài Trúc</t>
  </si>
  <si>
    <t>2021/091</t>
  </si>
  <si>
    <t>Nguyễn Ngọc Quỳnh</t>
  </si>
  <si>
    <t>2021/016</t>
  </si>
  <si>
    <t>Nguyễn Quỳnh</t>
  </si>
  <si>
    <t>2022/156</t>
  </si>
  <si>
    <t>Anna</t>
  </si>
  <si>
    <t>Phạm Quỳnh Phúc</t>
  </si>
  <si>
    <t>2022/031</t>
  </si>
  <si>
    <t>Trần Ngọc Lan</t>
  </si>
  <si>
    <t>2022/054</t>
  </si>
  <si>
    <t>Giuse</t>
  </si>
  <si>
    <t>Tô Nguyễn Thiên</t>
  </si>
  <si>
    <t>Ân</t>
  </si>
  <si>
    <t>2024/114</t>
  </si>
  <si>
    <t>Têrêsa</t>
  </si>
  <si>
    <t>Phạm Bảo</t>
  </si>
  <si>
    <t>Châu</t>
  </si>
  <si>
    <t>2020/072</t>
  </si>
  <si>
    <t>Vũ Bảo</t>
  </si>
  <si>
    <t>2021/037</t>
  </si>
  <si>
    <t>Phaolô</t>
  </si>
  <si>
    <t>Mai Hoàng Trí</t>
  </si>
  <si>
    <t>Dũng</t>
  </si>
  <si>
    <t>2021/063</t>
  </si>
  <si>
    <t>Thạch Kim</t>
  </si>
  <si>
    <t>Duy</t>
  </si>
  <si>
    <t>2022/084</t>
  </si>
  <si>
    <t>Nguyễn Châu Ánh</t>
  </si>
  <si>
    <t>Dương</t>
  </si>
  <si>
    <t>2023/047</t>
  </si>
  <si>
    <t>Catarina</t>
  </si>
  <si>
    <t>Chu Đào Linh</t>
  </si>
  <si>
    <t>Đan</t>
  </si>
  <si>
    <t>2023/161</t>
  </si>
  <si>
    <t>Đaminh</t>
  </si>
  <si>
    <t>Nguyễn Minh</t>
  </si>
  <si>
    <t>Đức</t>
  </si>
  <si>
    <t>2021/066</t>
  </si>
  <si>
    <t>Đoàn Ngọc Châu</t>
  </si>
  <si>
    <t>Giang</t>
  </si>
  <si>
    <t>2022/021</t>
  </si>
  <si>
    <t>Gioan</t>
  </si>
  <si>
    <t>Hoàng Văn</t>
  </si>
  <si>
    <t>Hào</t>
  </si>
  <si>
    <t>2021/103</t>
  </si>
  <si>
    <t>Martinô</t>
  </si>
  <si>
    <t>Hiếu</t>
  </si>
  <si>
    <t>2019/014</t>
  </si>
  <si>
    <t>Phạm Mai</t>
  </si>
  <si>
    <t>Hương</t>
  </si>
  <si>
    <t>2016/111</t>
  </si>
  <si>
    <t>Nguyễn Bảo</t>
  </si>
  <si>
    <t>Khang</t>
  </si>
  <si>
    <t>2020/074</t>
  </si>
  <si>
    <t>Nguyễn Duy</t>
  </si>
  <si>
    <t>2020/132</t>
  </si>
  <si>
    <t>Nguyễn Nam</t>
  </si>
  <si>
    <t>2021/104</t>
  </si>
  <si>
    <t>Khôi</t>
  </si>
  <si>
    <t>2021/015</t>
  </si>
  <si>
    <t>Đỗ Thiên</t>
  </si>
  <si>
    <t>Kim</t>
  </si>
  <si>
    <t>2024/036</t>
  </si>
  <si>
    <t>Phan Nguyễn Phúc</t>
  </si>
  <si>
    <t>Lâm</t>
  </si>
  <si>
    <t>2023/103</t>
  </si>
  <si>
    <t>Lê Đình Thế</t>
  </si>
  <si>
    <t>Lân</t>
  </si>
  <si>
    <t>2021/018</t>
  </si>
  <si>
    <t>Nguyễn Trúc</t>
  </si>
  <si>
    <t>Linh</t>
  </si>
  <si>
    <t>2021/021</t>
  </si>
  <si>
    <t>Phanxicô Xaviê</t>
  </si>
  <si>
    <t>Long</t>
  </si>
  <si>
    <t>2021/106</t>
  </si>
  <si>
    <t>Nguyễn Quang</t>
  </si>
  <si>
    <t>Minh</t>
  </si>
  <si>
    <t>2022/035</t>
  </si>
  <si>
    <t>Vũ Hoàng Bảo</t>
  </si>
  <si>
    <t>Nam</t>
  </si>
  <si>
    <t>2022/089</t>
  </si>
  <si>
    <t>Nghi</t>
  </si>
  <si>
    <t>2022/130</t>
  </si>
  <si>
    <t>Vũ Hoàng Khánh</t>
  </si>
  <si>
    <t>2021/005</t>
  </si>
  <si>
    <t>Phạm Ngọc Bảo</t>
  </si>
  <si>
    <t>Nhi</t>
  </si>
  <si>
    <t>2020/051</t>
  </si>
  <si>
    <t>Đoàn Thụy An</t>
  </si>
  <si>
    <t>Nhiên</t>
  </si>
  <si>
    <t>2022/184</t>
  </si>
  <si>
    <t>Lã Hoàng Gia</t>
  </si>
  <si>
    <t>Phát</t>
  </si>
  <si>
    <t>2020/033</t>
  </si>
  <si>
    <t>Gioan Baotixita</t>
  </si>
  <si>
    <t>Đặng Hoàng</t>
  </si>
  <si>
    <t>Phúc</t>
  </si>
  <si>
    <t>2020/104</t>
  </si>
  <si>
    <t>Huỳnh Hồng</t>
  </si>
  <si>
    <t>2023/083</t>
  </si>
  <si>
    <t>Vinh Sơn</t>
  </si>
  <si>
    <t>Vũ Thiên</t>
  </si>
  <si>
    <t>2022/123</t>
  </si>
  <si>
    <t>Mai Hoàng</t>
  </si>
  <si>
    <t>Sơn</t>
  </si>
  <si>
    <t>2023/211</t>
  </si>
  <si>
    <t>Trần Thanh</t>
  </si>
  <si>
    <t>Thịnh</t>
  </si>
  <si>
    <t>2022/108</t>
  </si>
  <si>
    <t>Nguyễn Kim</t>
  </si>
  <si>
    <t>Thư</t>
  </si>
  <si>
    <t>2022/096</t>
  </si>
  <si>
    <t>Trần Hồ Thủy</t>
  </si>
  <si>
    <t>Tiên</t>
  </si>
  <si>
    <t>2020/010</t>
  </si>
  <si>
    <t>Trang</t>
  </si>
  <si>
    <t>2022/186</t>
  </si>
  <si>
    <t>Vũ Ngọc Tường</t>
  </si>
  <si>
    <t>Vi</t>
  </si>
  <si>
    <t>2022/197</t>
  </si>
  <si>
    <t>Võ Trần Khánh</t>
  </si>
  <si>
    <t>Vy</t>
  </si>
  <si>
    <t>2025/090</t>
  </si>
  <si>
    <t xml:space="preserve">Teresa </t>
  </si>
  <si>
    <t xml:space="preserve">Nguyễn Ngọc Bảo </t>
  </si>
  <si>
    <t>Phaolo</t>
  </si>
  <si>
    <t>Trần Đình Quốc</t>
  </si>
  <si>
    <t>Triệu</t>
  </si>
  <si>
    <t>7/9</t>
  </si>
  <si>
    <t>11/9</t>
  </si>
  <si>
    <t>14/9</t>
  </si>
  <si>
    <t>18/9</t>
  </si>
  <si>
    <t>28/9</t>
  </si>
  <si>
    <t>2/10</t>
  </si>
  <si>
    <t>5/10</t>
  </si>
  <si>
    <t>9/10</t>
  </si>
  <si>
    <t>12/10</t>
  </si>
  <si>
    <t>16/10</t>
  </si>
  <si>
    <t>19/10</t>
  </si>
  <si>
    <t>23/10</t>
  </si>
  <si>
    <t>26/10</t>
  </si>
  <si>
    <t>30/10</t>
  </si>
  <si>
    <t>2/11</t>
  </si>
  <si>
    <t>6/11</t>
  </si>
  <si>
    <t>9/11</t>
  </si>
  <si>
    <t>13/11</t>
  </si>
  <si>
    <t>16/11</t>
  </si>
  <si>
    <t>20/11</t>
  </si>
  <si>
    <t>23/11</t>
  </si>
  <si>
    <t>27/11</t>
  </si>
  <si>
    <t>30/11</t>
  </si>
  <si>
    <t>4/12</t>
  </si>
  <si>
    <t>7/12</t>
  </si>
  <si>
    <t>11/12</t>
  </si>
  <si>
    <t>14/12</t>
  </si>
  <si>
    <t>18/12</t>
  </si>
  <si>
    <t>21/12</t>
  </si>
  <si>
    <t>28/12</t>
  </si>
  <si>
    <t>4/1</t>
  </si>
  <si>
    <t>8/1</t>
  </si>
  <si>
    <t>11/1</t>
  </si>
  <si>
    <t>TỔNG (51 buổi)</t>
  </si>
  <si>
    <t>ĐIỂM</t>
  </si>
  <si>
    <t>TB ĐIỂM  SỐNG ĐẠO</t>
  </si>
  <si>
    <t>L</t>
  </si>
  <si>
    <t>H</t>
  </si>
  <si>
    <t>T5</t>
  </si>
  <si>
    <t>Vincentê Phan Thành Thạc</t>
  </si>
  <si>
    <t>Têrêsa Nguyễn Võ Ánh Ngọc</t>
  </si>
  <si>
    <t>M</t>
  </si>
  <si>
    <t>1T</t>
  </si>
  <si>
    <t>Thi</t>
  </si>
  <si>
    <t>TB Giáo Lý</t>
  </si>
  <si>
    <t>TB Sống Đạo</t>
  </si>
  <si>
    <t>TB HK1</t>
  </si>
  <si>
    <t>Ghi Chú</t>
  </si>
  <si>
    <t xml:space="preserve"> </t>
  </si>
  <si>
    <t>THÔNG TIN DỮ LIỆU THIẾU NHI</t>
  </si>
  <si>
    <t xml:space="preserve">Họ và Tên </t>
  </si>
  <si>
    <t>Lớp</t>
  </si>
  <si>
    <t>Giới tính</t>
  </si>
  <si>
    <t>Địa Chỉ</t>
  </si>
  <si>
    <t>Đường</t>
  </si>
  <si>
    <t>Phường</t>
  </si>
  <si>
    <t>Quận</t>
  </si>
  <si>
    <t>Giáo Họ</t>
  </si>
  <si>
    <t>Tên Thánh Cha</t>
  </si>
  <si>
    <t>Họ Tên Cha</t>
  </si>
  <si>
    <t>Tên Thánh Mẹ</t>
  </si>
  <si>
    <t>Họ Tên Mẹ</t>
  </si>
  <si>
    <t>Tên Thánh Người Giám Hộ</t>
  </si>
  <si>
    <t>Họ Tên Người Giám Hộ</t>
  </si>
  <si>
    <t>SĐT Cá Nhân</t>
  </si>
  <si>
    <t>SĐT Cha</t>
  </si>
  <si>
    <t>SĐT Mẹ</t>
  </si>
  <si>
    <t>SĐT Người Giám Hộ</t>
  </si>
  <si>
    <t>Quan Thầy</t>
  </si>
  <si>
    <t>Rửa Tội</t>
  </si>
  <si>
    <t>Rước Lễ</t>
  </si>
  <si>
    <t>Thêm Sức</t>
  </si>
  <si>
    <t>Tuyên Hứa</t>
  </si>
  <si>
    <t>TN1C</t>
  </si>
  <si>
    <t>Nữ</t>
  </si>
  <si>
    <t>.</t>
  </si>
  <si>
    <t>Nguyễn Đức Hùng</t>
  </si>
  <si>
    <t>Rôsa</t>
  </si>
  <si>
    <t>Nguyễn Thị Thanh Thủy</t>
  </si>
  <si>
    <t>0903 340 422</t>
  </si>
  <si>
    <t>0907 707 301</t>
  </si>
  <si>
    <t>Đinh Đức Dũng</t>
  </si>
  <si>
    <t>Teresa</t>
  </si>
  <si>
    <t>Bùi Thị Kim Phương</t>
  </si>
  <si>
    <t>02/01/2016</t>
  </si>
  <si>
    <t>F50 KDC Tân Tiến</t>
  </si>
  <si>
    <t>Tân Thới Hiệp</t>
  </si>
  <si>
    <t>12</t>
  </si>
  <si>
    <t>Inhaxiô</t>
  </si>
  <si>
    <t>Lê Quốc Hưởng</t>
  </si>
  <si>
    <t>Võ Thị Thương</t>
  </si>
  <si>
    <t>0973 771 440</t>
  </si>
  <si>
    <t>0933 603 440</t>
  </si>
  <si>
    <t>06/09/2015</t>
  </si>
  <si>
    <t>49/7</t>
  </si>
  <si>
    <t>Thống Nhất</t>
  </si>
  <si>
    <t>13</t>
  </si>
  <si>
    <t>Gò Vấp</t>
  </si>
  <si>
    <t>Giáo xứ Hà Nội</t>
  </si>
  <si>
    <t>Phêrô</t>
  </si>
  <si>
    <t>Nguyễn Hoài Nam</t>
  </si>
  <si>
    <t>Lucia</t>
  </si>
  <si>
    <t>Võ Thị Trúc Ly</t>
  </si>
  <si>
    <t>0908 840 854</t>
  </si>
  <si>
    <t>0765 857 516</t>
  </si>
  <si>
    <t>02/03/2014</t>
  </si>
  <si>
    <t>Bà ngoại</t>
  </si>
  <si>
    <t>0917 220 289</t>
  </si>
  <si>
    <t>1005/9 tổ 3</t>
  </si>
  <si>
    <t>Đông Hưng Thuận</t>
  </si>
  <si>
    <t>Nguyễn Văn Hải</t>
  </si>
  <si>
    <t>Nguyễn Thị Hồng Tiên</t>
  </si>
  <si>
    <t>0906 154 048</t>
  </si>
  <si>
    <t>0909 537 209</t>
  </si>
  <si>
    <t>1134/16/7/27</t>
  </si>
  <si>
    <t>Phạm Văn Phúc</t>
  </si>
  <si>
    <t>Phạm Đặng Thùy Trinh</t>
  </si>
  <si>
    <t>0797 025 270</t>
  </si>
  <si>
    <t>0869 025 270</t>
  </si>
  <si>
    <t>26/07</t>
  </si>
  <si>
    <t>03/01/2016</t>
  </si>
  <si>
    <t>74/10</t>
  </si>
  <si>
    <t>Giuse Lao Động</t>
  </si>
  <si>
    <t>Phanxicô</t>
  </si>
  <si>
    <t>Trần Bảo Quốc</t>
  </si>
  <si>
    <t>H'Beo Buôn Krông</t>
  </si>
  <si>
    <t>0332 487 419</t>
  </si>
  <si>
    <t>01/02/2015</t>
  </si>
  <si>
    <t>44659</t>
  </si>
  <si>
    <t>Nguyễn Văn Quá</t>
  </si>
  <si>
    <t>Đức Mẹ Ban Ơn</t>
  </si>
  <si>
    <t>Tô Văn Tâm</t>
  </si>
  <si>
    <t>Nguyễn Thị Hạnh</t>
  </si>
  <si>
    <t>0963 588 262</t>
  </si>
  <si>
    <t>0974 435 627</t>
  </si>
  <si>
    <t>13/09/2015</t>
  </si>
  <si>
    <t>1152/39</t>
  </si>
  <si>
    <t>Phạm Quốc Việt</t>
  </si>
  <si>
    <t>Vũ Hoàng Oanh</t>
  </si>
  <si>
    <t>0973 841 941</t>
  </si>
  <si>
    <t>0982 225 797</t>
  </si>
  <si>
    <t>50</t>
  </si>
  <si>
    <t>ĐHT10</t>
  </si>
  <si>
    <t>Vũ Đức Thành</t>
  </si>
  <si>
    <t>Vũ Ngọc Phương Uyên</t>
  </si>
  <si>
    <t>0937 010 137</t>
  </si>
  <si>
    <t>0937 586 323</t>
  </si>
  <si>
    <t>07/09/2015</t>
  </si>
  <si>
    <t>35/5 tổ 5</t>
  </si>
  <si>
    <t>Phero</t>
  </si>
  <si>
    <t>Mai Văn Hậu</t>
  </si>
  <si>
    <t>Bùi Thị Thu Thủy</t>
  </si>
  <si>
    <t>0909 029 886</t>
  </si>
  <si>
    <t>0985 696 863</t>
  </si>
  <si>
    <t>29/06</t>
  </si>
  <si>
    <t>1134/19/8/35/35</t>
  </si>
  <si>
    <t>Gioan Kim</t>
  </si>
  <si>
    <t>Thạch Kim Trường Sử</t>
  </si>
  <si>
    <t>Nguyễn Thị Thu Thủy</t>
  </si>
  <si>
    <t>0988 557 457</t>
  </si>
  <si>
    <t>0378 330 806</t>
  </si>
  <si>
    <t>270/1Bis</t>
  </si>
  <si>
    <t>Tân Chánh</t>
  </si>
  <si>
    <t>Giuse Bầu Cử</t>
  </si>
  <si>
    <t>Nguyễn Quy Anh</t>
  </si>
  <si>
    <t>Phạm Thị Huỳnh Châu</t>
  </si>
  <si>
    <t>0937 661 128</t>
  </si>
  <si>
    <t>0903 787 569</t>
  </si>
  <si>
    <t>06/12/2015</t>
  </si>
  <si>
    <t>Tổ 3</t>
  </si>
  <si>
    <t>Di dân</t>
  </si>
  <si>
    <t>Chu Đào Linh Sương</t>
  </si>
  <si>
    <t>Trần Lương Hoài Phương</t>
  </si>
  <si>
    <t>0985 119 940</t>
  </si>
  <si>
    <t>0982 922 708</t>
  </si>
  <si>
    <t>04/01/2015</t>
  </si>
  <si>
    <t>Nguyễn Văn Trịnh</t>
  </si>
  <si>
    <t>Nguyễn Ngọc Hoa</t>
  </si>
  <si>
    <t>0932 617 669</t>
  </si>
  <si>
    <t>0329 598 896</t>
  </si>
  <si>
    <t>02/11/2014</t>
  </si>
  <si>
    <t>C122</t>
  </si>
  <si>
    <t>Fatima</t>
  </si>
  <si>
    <t>Đoàn Nguyễn Tú Anh</t>
  </si>
  <si>
    <t>Mai Thị Tuyết Nhung</t>
  </si>
  <si>
    <t>0909 938 772</t>
  </si>
  <si>
    <t>Hoàng Văn Tuấn</t>
  </si>
  <si>
    <t>Nguyễn Thị Hồng Phúc</t>
  </si>
  <si>
    <t>07/06/2015</t>
  </si>
  <si>
    <t>1066</t>
  </si>
  <si>
    <t>0. Đức Mẹ Ban Ơn</t>
  </si>
  <si>
    <t>Nguyễn Văn Dưỡng</t>
  </si>
  <si>
    <t>Mai Thị Nhẫn</t>
  </si>
  <si>
    <t>0967 339 338</t>
  </si>
  <si>
    <t>0964 168 438</t>
  </si>
  <si>
    <t>06/10/2013</t>
  </si>
  <si>
    <t>B236</t>
  </si>
  <si>
    <t>Đôminicô</t>
  </si>
  <si>
    <t>Nguyễn Đức Sơn</t>
  </si>
  <si>
    <t>Trần Nhật Tiên</t>
  </si>
  <si>
    <t>0986 268 400</t>
  </si>
  <si>
    <t>03/05/2015</t>
  </si>
  <si>
    <t>1849/43 tổ 4</t>
  </si>
  <si>
    <t>Đỗ Mạnh Tấn</t>
  </si>
  <si>
    <t>Lê Kim Hồng</t>
  </si>
  <si>
    <t>0972 887 717</t>
  </si>
  <si>
    <t>0904 807 191</t>
  </si>
  <si>
    <t>10.01A</t>
  </si>
  <si>
    <t>45</t>
  </si>
  <si>
    <t>14</t>
  </si>
  <si>
    <t>Phan Trọng Sỹ Liên</t>
  </si>
  <si>
    <t>Nguyễn Thiên Kim</t>
  </si>
  <si>
    <t>0962 688 350</t>
  </si>
  <si>
    <t>0903 190 772</t>
  </si>
  <si>
    <t>11E</t>
  </si>
  <si>
    <t>Lê Đình Nghĩa</t>
  </si>
  <si>
    <t>Nguyễn Thụy Ngọc Minh Trang</t>
  </si>
  <si>
    <t>0901 664 319</t>
  </si>
  <si>
    <t>0938 405 726</t>
  </si>
  <si>
    <t>01/03/2015</t>
  </si>
  <si>
    <t>5/8A ĐHT 11</t>
  </si>
  <si>
    <t>Nguyễn Văn Lương</t>
  </si>
  <si>
    <t>Huỳnh Thị Trang</t>
  </si>
  <si>
    <t>0909 690 615</t>
  </si>
  <si>
    <t>0348 436 334</t>
  </si>
  <si>
    <t>01/10</t>
  </si>
  <si>
    <t>49 ĐHT 18</t>
  </si>
  <si>
    <t>Phạm Quốc Hưng</t>
  </si>
  <si>
    <t>Đinh Thị Trầm</t>
  </si>
  <si>
    <t>0898 106 949</t>
  </si>
  <si>
    <t>03/12</t>
  </si>
  <si>
    <t>87/2A tổ 1</t>
  </si>
  <si>
    <t>Vũ Hoàng Huân</t>
  </si>
  <si>
    <t>Nguyễn Nhị Như Ngọc</t>
  </si>
  <si>
    <t>0988 421 220</t>
  </si>
  <si>
    <t>0976 719 776</t>
  </si>
  <si>
    <t>17/5B</t>
  </si>
  <si>
    <t>Nguyễn Duy Tuấn</t>
  </si>
  <si>
    <t>Nguyễn Thúy Vi</t>
  </si>
  <si>
    <t>0906 666 786</t>
  </si>
  <si>
    <t>0909 168 686</t>
  </si>
  <si>
    <t>01/11/2015</t>
  </si>
  <si>
    <t>Vũ Đức Minh</t>
  </si>
  <si>
    <t>Lê Ngọc Quỳnh Như</t>
  </si>
  <si>
    <t>0933 883 144</t>
  </si>
  <si>
    <t>0762 662 266</t>
  </si>
  <si>
    <t>84/4A1 tổ 9</t>
  </si>
  <si>
    <t>Phạm Vũ Điền</t>
  </si>
  <si>
    <t>Phạm Thị Hồng Tươi</t>
  </si>
  <si>
    <t>0909 839 471</t>
  </si>
  <si>
    <t>0936 353 591</t>
  </si>
  <si>
    <t>Tôma</t>
  </si>
  <si>
    <t>Đoàn Nguyễn Tuấn Anh</t>
  </si>
  <si>
    <t>Trần Thị Lệ Sương</t>
  </si>
  <si>
    <t>0935 645 353</t>
  </si>
  <si>
    <t>29/5 tổ 4</t>
  </si>
  <si>
    <t>Đặng Văn Phước</t>
  </si>
  <si>
    <t>Mônica</t>
  </si>
  <si>
    <t>Vũ Thị Ngọc Tuyết</t>
  </si>
  <si>
    <t>0938 586 654</t>
  </si>
  <si>
    <t>0909 352 978</t>
  </si>
  <si>
    <t>46/10/5</t>
  </si>
  <si>
    <t>ĐHT27</t>
  </si>
  <si>
    <t>Huỳnh Ngọc Tú</t>
  </si>
  <si>
    <t>Dương Thị Cẩm Hiền</t>
  </si>
  <si>
    <t>0983 872 300</t>
  </si>
  <si>
    <t>0909 949 146</t>
  </si>
  <si>
    <t>01/04/2015</t>
  </si>
  <si>
    <t>229/3 tổ 9</t>
  </si>
  <si>
    <t>Tân Chánh Hiệp</t>
  </si>
  <si>
    <t>Vũ Tiến Lợi</t>
  </si>
  <si>
    <t>Ngô Thị Vân</t>
  </si>
  <si>
    <t>0835 015 055</t>
  </si>
  <si>
    <t>03/08/2014</t>
  </si>
  <si>
    <t>891/22/5</t>
  </si>
  <si>
    <t>Mai Ngọc</t>
  </si>
  <si>
    <t>Hoàng Thị Thúy Hoa</t>
  </si>
  <si>
    <t>0909 610 104</t>
  </si>
  <si>
    <t>0909 313 365</t>
  </si>
  <si>
    <t>05/07/2015</t>
  </si>
  <si>
    <t>101/8A, tổ 22</t>
  </si>
  <si>
    <t>Trần Nguyễn Tiến Thanh</t>
  </si>
  <si>
    <t>Anna Maria</t>
  </si>
  <si>
    <t>Trần Thị Mai Liễu</t>
  </si>
  <si>
    <t>0938 830 539</t>
  </si>
  <si>
    <t>01/09/2013</t>
  </si>
  <si>
    <t>Anton</t>
  </si>
  <si>
    <t>Nguyễn Văn Thực</t>
  </si>
  <si>
    <t>Trương Thùy Dung</t>
  </si>
  <si>
    <t>06/09/2014</t>
  </si>
  <si>
    <t>Micae</t>
  </si>
  <si>
    <t>Trần Văn Đại Khâm</t>
  </si>
  <si>
    <t>Hồ Thị Mai Phương</t>
  </si>
  <si>
    <t>0353 363 222</t>
  </si>
  <si>
    <t>0987 490 129</t>
  </si>
  <si>
    <t>03/12/2016</t>
  </si>
  <si>
    <t>98a2 tổ 3</t>
  </si>
  <si>
    <t>Vũ Đức Trung</t>
  </si>
  <si>
    <t>Lê Thị Ngọc Đảm</t>
  </si>
  <si>
    <t>0913 894 425</t>
  </si>
  <si>
    <t>0969 774 761</t>
  </si>
  <si>
    <t>80A</t>
  </si>
  <si>
    <t>HT05</t>
  </si>
  <si>
    <t>Hiệp Thành</t>
  </si>
  <si>
    <t>Võ Tấn Dũng</t>
  </si>
  <si>
    <t>Maria Mađalêna</t>
  </si>
  <si>
    <t>Trần Thị Hồng Vân</t>
  </si>
  <si>
    <t>0969 730 454</t>
  </si>
  <si>
    <t>0392 553 676</t>
  </si>
  <si>
    <t>02/09/2022</t>
  </si>
  <si>
    <t xml:space="preserve">Nữ </t>
  </si>
  <si>
    <t xml:space="preserve">113/6 </t>
  </si>
  <si>
    <t>Tân Thới Hiệp 13</t>
  </si>
  <si>
    <t xml:space="preserve">Bình Thái </t>
  </si>
  <si>
    <t xml:space="preserve">Giuse Maria </t>
  </si>
  <si>
    <t xml:space="preserve">Nguyễn An Khang </t>
  </si>
  <si>
    <t xml:space="preserve">Lucia </t>
  </si>
  <si>
    <t>Trần Thị Thu Oanh</t>
  </si>
  <si>
    <t>0941588866</t>
  </si>
  <si>
    <t>0896898996</t>
  </si>
  <si>
    <t>29/11/2014</t>
  </si>
  <si>
    <t>Vincente</t>
  </si>
  <si>
    <t>Trần Đình Tuấn</t>
  </si>
  <si>
    <t>Dương Thị Mơ</t>
  </si>
  <si>
    <t>BẢNG ĐIỂM HK1 LỚP _____________</t>
  </si>
  <si>
    <t>BẢNG ĐIỂM DANH  LỚP _______________</t>
  </si>
  <si>
    <t>DANH SÁCH LỚP 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</si>
</sst>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/m/yyyy"/>
    <numFmt numFmtId="165" formatCode="dd/mm/yyyy"/>
    <numFmt numFmtId="166" formatCode="0.0000_ "/>
    <numFmt numFmtId="167" formatCode="0.00_ "/>
  </numFmts>
  <fonts count="21">
    <font>
      <sz val="11"/>
      <color theme="1"/>
      <name val="Calibri"/>
      <family val="2"/>
      <scheme val="minor"/>
    </font>
    <font>
      <i/>
      <sz val="13"/>
      <color theme="1"/>
      <name val="Times New Roman"/>
    </font>
    <font>
      <sz val="13"/>
      <color theme="1"/>
      <name val="Times New Roman"/>
    </font>
    <font>
      <b/>
      <sz val="13"/>
      <color theme="1"/>
      <name val="Times New Roman"/>
    </font>
    <font>
      <u/>
      <sz val="13"/>
      <color theme="1"/>
      <name val="Times New Roman"/>
    </font>
    <font>
      <b/>
      <sz val="22"/>
      <color theme="1"/>
      <name val="Times New Roman"/>
    </font>
    <font>
      <sz val="11"/>
      <color theme="1"/>
      <name val="Calibri"/>
      <scheme val="minor"/>
    </font>
    <font>
      <sz val="22"/>
      <color theme="1"/>
      <name val="Noto Sans Symbols"/>
    </font>
    <font>
      <sz val="11"/>
      <name val="Calibri"/>
    </font>
    <font>
      <i/>
      <sz val="10"/>
      <color theme="1"/>
      <name val="Times New Roman"/>
    </font>
    <font>
      <sz val="13"/>
      <color rgb="FF000000"/>
      <name val="Times New Roman"/>
    </font>
    <font>
      <sz val="9"/>
      <color theme="1"/>
      <name val="Calibri"/>
    </font>
    <font>
      <sz val="11"/>
      <color theme="1"/>
      <name val="Calibri"/>
    </font>
    <font>
      <sz val="10"/>
      <color theme="1"/>
      <name val="Calibri"/>
    </font>
    <font>
      <sz val="13"/>
      <name val="Times New Roman"/>
      <family val="1"/>
    </font>
    <font>
      <sz val="13"/>
      <color theme="0"/>
      <name val="Times New Roman"/>
    </font>
    <font>
      <b/>
      <sz val="22"/>
      <color theme="1"/>
      <name val="Calibri"/>
    </font>
    <font>
      <sz val="14"/>
      <color theme="1"/>
      <name val="Calibri"/>
    </font>
    <font>
      <b/>
      <sz val="14"/>
      <color theme="1"/>
      <name val="Calibri"/>
    </font>
    <font>
      <sz val="14"/>
      <color theme="1"/>
      <name val="Times New Roman"/>
    </font>
    <font>
      <sz val="14"/>
      <color rgb="FF00000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AEABAB"/>
        <bgColor rgb="FFAEABAB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9" fillId="0" borderId="0" xfId="0" applyFont="1" applyAlignment="1">
      <alignment horizontal="right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164" fontId="2" fillId="0" borderId="8" xfId="0" applyNumberFormat="1" applyFont="1" applyBorder="1" applyAlignment="1">
      <alignment horizontal="right"/>
    </xf>
    <xf numFmtId="14" fontId="2" fillId="0" borderId="8" xfId="0" applyNumberFormat="1" applyFont="1" applyBorder="1" applyAlignment="1">
      <alignment horizontal="right"/>
    </xf>
    <xf numFmtId="0" fontId="2" fillId="3" borderId="8" xfId="0" applyFont="1" applyFill="1" applyBorder="1" applyAlignment="1">
      <alignment horizontal="center" vertical="center"/>
    </xf>
    <xf numFmtId="0" fontId="2" fillId="0" borderId="8" xfId="0" applyFont="1" applyBorder="1"/>
    <xf numFmtId="165" fontId="10" fillId="0" borderId="8" xfId="0" applyNumberFormat="1" applyFont="1" applyBorder="1" applyAlignment="1">
      <alignment horizontal="right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9" fontId="11" fillId="4" borderId="0" xfId="0" applyNumberFormat="1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49" fontId="3" fillId="5" borderId="8" xfId="0" applyNumberFormat="1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64" fontId="2" fillId="0" borderId="8" xfId="0" applyNumberFormat="1" applyFont="1" applyBorder="1" applyAlignment="1">
      <alignment horizontal="right" vertical="center"/>
    </xf>
    <xf numFmtId="0" fontId="14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166" fontId="2" fillId="0" borderId="5" xfId="0" applyNumberFormat="1" applyFont="1" applyBorder="1" applyAlignment="1">
      <alignment vertical="center"/>
    </xf>
    <xf numFmtId="14" fontId="2" fillId="0" borderId="8" xfId="0" applyNumberFormat="1" applyFont="1" applyBorder="1" applyAlignment="1">
      <alignment horizontal="right" vertical="center"/>
    </xf>
    <xf numFmtId="165" fontId="10" fillId="0" borderId="8" xfId="0" applyNumberFormat="1" applyFont="1" applyBorder="1" applyAlignment="1">
      <alignment horizontal="right" vertical="center"/>
    </xf>
    <xf numFmtId="0" fontId="15" fillId="0" borderId="7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vertical="center"/>
    </xf>
    <xf numFmtId="166" fontId="2" fillId="0" borderId="8" xfId="0" applyNumberFormat="1" applyFont="1" applyBorder="1" applyAlignment="1">
      <alignment vertical="center"/>
    </xf>
    <xf numFmtId="0" fontId="16" fillId="0" borderId="0" xfId="0" applyFont="1" applyAlignment="1">
      <alignment horizontal="left"/>
    </xf>
    <xf numFmtId="0" fontId="17" fillId="0" borderId="0" xfId="0" applyFont="1"/>
    <xf numFmtId="0" fontId="17" fillId="0" borderId="0" xfId="0" applyFont="1" applyAlignment="1">
      <alignment horizontal="center"/>
    </xf>
    <xf numFmtId="0" fontId="18" fillId="0" borderId="8" xfId="0" applyFont="1" applyBorder="1" applyAlignment="1">
      <alignment horizontal="center" vertical="center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8" fillId="0" borderId="8" xfId="0" applyFont="1" applyBorder="1"/>
    <xf numFmtId="0" fontId="18" fillId="0" borderId="0" xfId="0" applyFont="1"/>
    <xf numFmtId="0" fontId="17" fillId="0" borderId="8" xfId="0" applyFont="1" applyBorder="1" applyAlignment="1">
      <alignment horizontal="center" vertical="center"/>
    </xf>
    <xf numFmtId="0" fontId="17" fillId="0" borderId="8" xfId="0" applyFont="1" applyBorder="1" applyAlignment="1">
      <alignment vertical="center"/>
    </xf>
    <xf numFmtId="164" fontId="19" fillId="0" borderId="8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/>
    </xf>
    <xf numFmtId="14" fontId="19" fillId="0" borderId="8" xfId="0" applyNumberFormat="1" applyFont="1" applyBorder="1" applyAlignment="1">
      <alignment horizontal="right" vertical="center"/>
    </xf>
    <xf numFmtId="49" fontId="17" fillId="0" borderId="8" xfId="0" applyNumberFormat="1" applyFont="1" applyBorder="1" applyAlignment="1">
      <alignment vertical="center"/>
    </xf>
    <xf numFmtId="0" fontId="19" fillId="3" borderId="8" xfId="0" applyFont="1" applyFill="1" applyBorder="1" applyAlignment="1">
      <alignment vertical="center"/>
    </xf>
    <xf numFmtId="0" fontId="19" fillId="0" borderId="8" xfId="0" applyFont="1" applyBorder="1"/>
    <xf numFmtId="165" fontId="20" fillId="0" borderId="8" xfId="0" applyNumberFormat="1" applyFont="1" applyBorder="1" applyAlignment="1">
      <alignment horizontal="center"/>
    </xf>
    <xf numFmtId="49" fontId="19" fillId="0" borderId="8" xfId="0" applyNumberFormat="1" applyFont="1" applyBorder="1"/>
    <xf numFmtId="14" fontId="19" fillId="0" borderId="8" xfId="0" applyNumberFormat="1" applyFont="1" applyBorder="1"/>
    <xf numFmtId="0" fontId="19" fillId="0" borderId="0" xfId="0" applyFont="1"/>
    <xf numFmtId="0" fontId="20" fillId="0" borderId="8" xfId="0" applyFont="1" applyBorder="1" applyAlignment="1">
      <alignment horizontal="center"/>
    </xf>
    <xf numFmtId="0" fontId="6" fillId="0" borderId="8" xfId="0" applyFont="1" applyBorder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1" xfId="0" applyFont="1" applyBorder="1"/>
    <xf numFmtId="0" fontId="3" fillId="2" borderId="2" xfId="0" applyFont="1" applyFill="1" applyBorder="1" applyAlignment="1">
      <alignment horizontal="center" vertical="center"/>
    </xf>
    <xf numFmtId="0" fontId="8" fillId="0" borderId="5" xfId="0" applyFont="1" applyBorder="1"/>
    <xf numFmtId="0" fontId="3" fillId="2" borderId="3" xfId="0" applyFont="1" applyFill="1" applyBorder="1" applyAlignment="1">
      <alignment horizontal="center" vertical="center"/>
    </xf>
    <xf numFmtId="0" fontId="8" fillId="0" borderId="6" xfId="0" applyFont="1" applyBorder="1"/>
    <xf numFmtId="0" fontId="3" fillId="2" borderId="4" xfId="0" applyFont="1" applyFill="1" applyBorder="1" applyAlignment="1">
      <alignment horizontal="center" vertical="center"/>
    </xf>
    <xf numFmtId="0" fontId="8" fillId="0" borderId="7" xfId="0" applyFont="1" applyBorder="1"/>
    <xf numFmtId="49" fontId="3" fillId="6" borderId="13" xfId="0" applyNumberFormat="1" applyFont="1" applyFill="1" applyBorder="1" applyAlignment="1">
      <alignment horizontal="center" vertical="center" wrapText="1"/>
    </xf>
    <xf numFmtId="0" fontId="8" fillId="0" borderId="14" xfId="0" applyFont="1" applyBorder="1"/>
    <xf numFmtId="49" fontId="3" fillId="5" borderId="9" xfId="0" applyNumberFormat="1" applyFont="1" applyFill="1" applyBorder="1" applyAlignment="1">
      <alignment horizontal="center" vertical="center"/>
    </xf>
    <xf numFmtId="0" fontId="8" fillId="0" borderId="10" xfId="0" applyFont="1" applyBorder="1"/>
    <xf numFmtId="49" fontId="3" fillId="6" borderId="11" xfId="0" applyNumberFormat="1" applyFont="1" applyFill="1" applyBorder="1" applyAlignment="1">
      <alignment horizontal="center" vertical="center" wrapText="1"/>
    </xf>
    <xf numFmtId="0" fontId="8" fillId="0" borderId="11" xfId="0" applyFont="1" applyBorder="1"/>
    <xf numFmtId="0" fontId="8" fillId="0" borderId="12" xfId="0" applyFont="1" applyBorder="1"/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2" xfId="0" applyNumberFormat="1" applyFont="1" applyBorder="1" applyAlignment="1">
      <alignment horizontal="right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164" fontId="2" fillId="0" borderId="15" xfId="0" applyNumberFormat="1" applyFont="1" applyBorder="1" applyAlignment="1">
      <alignment horizontal="right"/>
    </xf>
    <xf numFmtId="14" fontId="2" fillId="0" borderId="15" xfId="0" applyNumberFormat="1" applyFont="1" applyBorder="1" applyAlignment="1">
      <alignment horizontal="right"/>
    </xf>
    <xf numFmtId="0" fontId="2" fillId="0" borderId="15" xfId="0" applyFont="1" applyBorder="1"/>
    <xf numFmtId="165" fontId="10" fillId="0" borderId="15" xfId="0" applyNumberFormat="1" applyFont="1" applyBorder="1" applyAlignment="1">
      <alignment horizontal="right"/>
    </xf>
    <xf numFmtId="0" fontId="2" fillId="0" borderId="15" xfId="0" applyFont="1" applyBorder="1" applyAlignment="1">
      <alignment horizontal="right" vertical="center"/>
    </xf>
  </cellXfs>
  <cellStyles count="1">
    <cellStyle name="Normal" xfId="0" builtinId="0"/>
  </cellStyles>
  <dxfs count="7">
    <dxf>
      <fill>
        <patternFill patternType="none"/>
      </fill>
      <border>
        <left style="thin">
          <color rgb="FF000000"/>
        </left>
        <right/>
        <top/>
        <bottom style="thin">
          <color rgb="FF000000"/>
        </bottom>
      </border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  <border>
        <left style="thin">
          <color rgb="FF000000"/>
        </left>
        <right/>
        <top/>
        <bottom style="thin">
          <color rgb="FF000000"/>
        </bottom>
      </border>
    </dxf>
    <dxf>
      <fill>
        <patternFill patternType="none"/>
      </fill>
      <border>
        <left style="thin">
          <color rgb="FF000000"/>
        </left>
        <right/>
        <top/>
        <bottom style="thin">
          <color rgb="FF000000"/>
        </bottom>
      </border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  <border>
        <left style="thin">
          <color rgb="FF000000"/>
        </left>
        <right/>
        <top/>
        <bottom style="thin">
          <color rgb="FF000000"/>
        </bottom>
      </border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zoomScaleNormal="100" workbookViewId="0">
      <selection activeCell="H43" sqref="H43"/>
    </sheetView>
  </sheetViews>
  <sheetFormatPr defaultColWidth="14.44140625" defaultRowHeight="14.4" outlineLevelCol="1"/>
  <cols>
    <col min="1" max="1" width="4.5546875" customWidth="1"/>
    <col min="2" max="2" width="16.6640625" customWidth="1" outlineLevel="1" collapsed="1"/>
    <col min="3" max="3" width="16.5546875" customWidth="1"/>
    <col min="4" max="4" width="26.88671875" customWidth="1"/>
    <col min="5" max="5" width="8.5546875" customWidth="1"/>
    <col min="6" max="6" width="13.44140625" customWidth="1"/>
    <col min="7" max="7" width="18.44140625" customWidth="1"/>
    <col min="8" max="26" width="8.88671875" customWidth="1"/>
  </cols>
  <sheetData>
    <row r="1" spans="1:26" ht="16.8" customHeight="1">
      <c r="A1" s="1" t="s">
        <v>0</v>
      </c>
      <c r="B1" s="2"/>
      <c r="C1" s="3"/>
      <c r="D1" s="3"/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" customHeight="1">
      <c r="A2" s="5" t="s">
        <v>1</v>
      </c>
      <c r="B2" s="2"/>
      <c r="C2" s="3"/>
      <c r="D2" s="3"/>
      <c r="E2" s="3"/>
      <c r="F2" s="4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" customHeight="1">
      <c r="A3" s="6" t="s">
        <v>2</v>
      </c>
      <c r="B3" s="2"/>
      <c r="C3" s="3"/>
      <c r="D3" s="3"/>
      <c r="E3" s="3"/>
      <c r="F3" s="4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" customHeight="1">
      <c r="A4" s="60" t="s">
        <v>481</v>
      </c>
      <c r="B4" s="61"/>
      <c r="C4" s="61"/>
      <c r="D4" s="61"/>
      <c r="E4" s="61"/>
      <c r="F4" s="61"/>
      <c r="G4" s="61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8" customHeight="1">
      <c r="A5" s="61"/>
      <c r="B5" s="61"/>
      <c r="C5" s="61"/>
      <c r="D5" s="61"/>
      <c r="E5" s="61"/>
      <c r="F5" s="61"/>
      <c r="G5" s="61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.6" customHeight="1">
      <c r="A6" s="62" t="s">
        <v>3</v>
      </c>
      <c r="B6" s="61"/>
      <c r="C6" s="61"/>
      <c r="D6" s="61"/>
      <c r="E6" s="61"/>
      <c r="F6" s="61"/>
      <c r="G6" s="61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customHeight="1">
      <c r="A7" s="7"/>
      <c r="B7" s="2"/>
      <c r="C7" s="8" t="s">
        <v>4</v>
      </c>
      <c r="D7" s="9"/>
      <c r="E7" s="7"/>
      <c r="F7" s="10"/>
      <c r="G7" s="7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8" customHeight="1">
      <c r="A8" s="7"/>
      <c r="B8" s="2"/>
      <c r="C8" s="7"/>
      <c r="D8" s="9"/>
      <c r="E8" s="7"/>
      <c r="F8" s="10"/>
      <c r="G8" s="7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" customHeight="1">
      <c r="A9" s="3"/>
      <c r="B9" s="2"/>
      <c r="C9" s="3"/>
      <c r="D9" s="63"/>
      <c r="E9" s="64"/>
      <c r="F9" s="10"/>
      <c r="G9" s="11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" customHeight="1">
      <c r="A10" s="65" t="s">
        <v>7</v>
      </c>
      <c r="B10" s="65" t="s">
        <v>8</v>
      </c>
      <c r="C10" s="65" t="s">
        <v>9</v>
      </c>
      <c r="D10" s="67" t="s">
        <v>10</v>
      </c>
      <c r="E10" s="69"/>
      <c r="F10" s="65" t="s">
        <v>11</v>
      </c>
      <c r="G10" s="65" t="s">
        <v>12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" customHeight="1">
      <c r="A11" s="78"/>
      <c r="B11" s="78"/>
      <c r="C11" s="78"/>
      <c r="D11" s="79"/>
      <c r="E11" s="80"/>
      <c r="F11" s="78"/>
      <c r="G11" s="78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12" t="str">
        <f t="shared" ref="A12:A55" si="0">IF(E12="","",COUNTA($E$12:E12))</f>
        <v/>
      </c>
      <c r="B12" s="12"/>
      <c r="C12" s="13"/>
      <c r="D12" s="13"/>
      <c r="E12" s="14"/>
      <c r="F12" s="15"/>
      <c r="G12" s="1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" customHeight="1">
      <c r="A13" s="12" t="str">
        <f t="shared" si="0"/>
        <v/>
      </c>
      <c r="B13" s="12"/>
      <c r="C13" s="13"/>
      <c r="D13" s="13"/>
      <c r="E13" s="14"/>
      <c r="F13" s="16"/>
      <c r="G13" s="12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8" customHeight="1">
      <c r="A14" s="2" t="str">
        <f t="shared" si="0"/>
        <v/>
      </c>
      <c r="B14" s="12"/>
      <c r="C14" s="13"/>
      <c r="D14" s="13"/>
      <c r="E14" s="14"/>
      <c r="F14" s="16"/>
      <c r="G14" s="12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" customHeight="1">
      <c r="A15" s="12" t="str">
        <f t="shared" si="0"/>
        <v/>
      </c>
      <c r="B15" s="12"/>
      <c r="C15" s="13"/>
      <c r="D15" s="13"/>
      <c r="E15" s="14"/>
      <c r="F15" s="16"/>
      <c r="G15" s="12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" customHeight="1">
      <c r="A16" s="2" t="str">
        <f t="shared" si="0"/>
        <v/>
      </c>
      <c r="B16" s="12"/>
      <c r="C16" s="13"/>
      <c r="D16" s="13"/>
      <c r="E16" s="14"/>
      <c r="F16" s="16"/>
      <c r="G16" s="12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" customHeight="1">
      <c r="A17" s="12" t="str">
        <f t="shared" si="0"/>
        <v/>
      </c>
      <c r="B17" s="12"/>
      <c r="C17" s="13"/>
      <c r="D17" s="13"/>
      <c r="E17" s="14"/>
      <c r="F17" s="15"/>
      <c r="G17" s="12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2" t="str">
        <f t="shared" si="0"/>
        <v/>
      </c>
      <c r="B18" s="12"/>
      <c r="C18" s="13"/>
      <c r="D18" s="13"/>
      <c r="E18" s="14"/>
      <c r="F18" s="15"/>
      <c r="G18" s="1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12" t="str">
        <f t="shared" si="0"/>
        <v/>
      </c>
      <c r="B19" s="12"/>
      <c r="C19" s="13"/>
      <c r="D19" s="13"/>
      <c r="E19" s="14"/>
      <c r="F19" s="16"/>
      <c r="G19" s="1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2" t="str">
        <f t="shared" si="0"/>
        <v/>
      </c>
      <c r="B20" s="12"/>
      <c r="C20" s="13"/>
      <c r="D20" s="13"/>
      <c r="E20" s="14"/>
      <c r="F20" s="16"/>
      <c r="G20" s="12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2" t="str">
        <f t="shared" si="0"/>
        <v/>
      </c>
      <c r="B21" s="12"/>
      <c r="C21" s="13"/>
      <c r="D21" s="13"/>
      <c r="E21" s="14"/>
      <c r="F21" s="16"/>
      <c r="G21" s="12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2" t="str">
        <f t="shared" si="0"/>
        <v/>
      </c>
      <c r="B22" s="12"/>
      <c r="C22" s="13"/>
      <c r="D22" s="13"/>
      <c r="E22" s="14"/>
      <c r="F22" s="16"/>
      <c r="G22" s="12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2" t="str">
        <f t="shared" si="0"/>
        <v/>
      </c>
      <c r="B23" s="12"/>
      <c r="C23" s="13"/>
      <c r="D23" s="13"/>
      <c r="E23" s="14"/>
      <c r="F23" s="16"/>
      <c r="G23" s="12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2" t="str">
        <f t="shared" si="0"/>
        <v/>
      </c>
      <c r="B24" s="12"/>
      <c r="C24" s="13"/>
      <c r="D24" s="13"/>
      <c r="E24" s="14"/>
      <c r="F24" s="15"/>
      <c r="G24" s="12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2" t="str">
        <f t="shared" si="0"/>
        <v/>
      </c>
      <c r="B25" s="12"/>
      <c r="C25" s="13"/>
      <c r="D25" s="13"/>
      <c r="E25" s="14"/>
      <c r="F25" s="15"/>
      <c r="G25" s="12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2" t="str">
        <f t="shared" si="0"/>
        <v/>
      </c>
      <c r="B26" s="12"/>
      <c r="C26" s="13"/>
      <c r="D26" s="13"/>
      <c r="E26" s="14"/>
      <c r="F26" s="16"/>
      <c r="G26" s="12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2" t="str">
        <f t="shared" si="0"/>
        <v/>
      </c>
      <c r="B27" s="12"/>
      <c r="C27" s="13"/>
      <c r="D27" s="13"/>
      <c r="E27" s="14"/>
      <c r="F27" s="16"/>
      <c r="G27" s="12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2" t="str">
        <f t="shared" si="0"/>
        <v/>
      </c>
      <c r="B28" s="12"/>
      <c r="C28" s="13"/>
      <c r="D28" s="13"/>
      <c r="E28" s="14"/>
      <c r="F28" s="16"/>
      <c r="G28" s="12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2" t="str">
        <f t="shared" si="0"/>
        <v/>
      </c>
      <c r="B29" s="12"/>
      <c r="C29" s="13"/>
      <c r="D29" s="13"/>
      <c r="E29" s="14"/>
      <c r="F29" s="16"/>
      <c r="G29" s="1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2" t="str">
        <f t="shared" si="0"/>
        <v/>
      </c>
      <c r="B30" s="12"/>
      <c r="C30" s="13"/>
      <c r="D30" s="13"/>
      <c r="E30" s="14"/>
      <c r="F30" s="15"/>
      <c r="G30" s="12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2" t="str">
        <f t="shared" si="0"/>
        <v/>
      </c>
      <c r="B31" s="12"/>
      <c r="C31" s="13"/>
      <c r="D31" s="13"/>
      <c r="E31" s="14"/>
      <c r="F31" s="16"/>
      <c r="G31" s="12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12" t="str">
        <f t="shared" si="0"/>
        <v/>
      </c>
      <c r="B32" s="12"/>
      <c r="C32" s="13"/>
      <c r="D32" s="13"/>
      <c r="E32" s="14"/>
      <c r="F32" s="16"/>
      <c r="G32" s="12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2" t="str">
        <f t="shared" si="0"/>
        <v/>
      </c>
      <c r="B33" s="12"/>
      <c r="C33" s="13"/>
      <c r="D33" s="13"/>
      <c r="E33" s="14"/>
      <c r="F33" s="15"/>
      <c r="G33" s="1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2" t="str">
        <f t="shared" si="0"/>
        <v/>
      </c>
      <c r="B34" s="82"/>
      <c r="C34" s="83"/>
      <c r="D34" s="83"/>
      <c r="E34" s="84"/>
      <c r="F34" s="85"/>
      <c r="G34" s="8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81" t="str">
        <f t="shared" si="0"/>
        <v/>
      </c>
      <c r="B35" s="86"/>
      <c r="C35" s="87"/>
      <c r="D35" s="87"/>
      <c r="E35" s="87"/>
      <c r="F35" s="88"/>
      <c r="G35" s="8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2" t="str">
        <f t="shared" si="0"/>
        <v/>
      </c>
      <c r="B36" s="86"/>
      <c r="C36" s="87"/>
      <c r="D36" s="87"/>
      <c r="E36" s="87"/>
      <c r="F36" s="89"/>
      <c r="G36" s="8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81" t="str">
        <f t="shared" si="0"/>
        <v/>
      </c>
      <c r="B37" s="86"/>
      <c r="C37" s="87"/>
      <c r="D37" s="87"/>
      <c r="E37" s="87"/>
      <c r="F37" s="88"/>
      <c r="G37" s="8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2" t="str">
        <f t="shared" si="0"/>
        <v/>
      </c>
      <c r="B38" s="86"/>
      <c r="C38" s="87"/>
      <c r="D38" s="87"/>
      <c r="E38" s="87"/>
      <c r="F38" s="89"/>
      <c r="G38" s="8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81" t="str">
        <f t="shared" si="0"/>
        <v/>
      </c>
      <c r="B39" s="86"/>
      <c r="C39" s="87"/>
      <c r="D39" s="87"/>
      <c r="E39" s="87"/>
      <c r="F39" s="89"/>
      <c r="G39" s="8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2" t="str">
        <f t="shared" si="0"/>
        <v/>
      </c>
      <c r="B40" s="86"/>
      <c r="C40" s="87"/>
      <c r="D40" s="87"/>
      <c r="E40" s="87"/>
      <c r="F40" s="89"/>
      <c r="G40" s="8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81" t="str">
        <f t="shared" si="0"/>
        <v/>
      </c>
      <c r="B41" s="86"/>
      <c r="C41" s="87"/>
      <c r="D41" s="87"/>
      <c r="E41" s="87"/>
      <c r="F41" s="89"/>
      <c r="G41" s="8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2" t="str">
        <f t="shared" si="0"/>
        <v/>
      </c>
      <c r="B42" s="86"/>
      <c r="C42" s="87"/>
      <c r="D42" s="87"/>
      <c r="E42" s="87"/>
      <c r="F42" s="89"/>
      <c r="G42" s="8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81" t="str">
        <f t="shared" si="0"/>
        <v/>
      </c>
      <c r="B43" s="86"/>
      <c r="C43" s="87"/>
      <c r="D43" s="87"/>
      <c r="E43" s="87"/>
      <c r="F43" s="89"/>
      <c r="G43" s="8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2" t="str">
        <f t="shared" si="0"/>
        <v/>
      </c>
      <c r="B44" s="86"/>
      <c r="C44" s="87"/>
      <c r="D44" s="87"/>
      <c r="E44" s="87"/>
      <c r="F44" s="88"/>
      <c r="G44" s="8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81" t="str">
        <f t="shared" si="0"/>
        <v/>
      </c>
      <c r="B45" s="86"/>
      <c r="C45" s="87"/>
      <c r="D45" s="87"/>
      <c r="E45" s="87"/>
      <c r="F45" s="89"/>
      <c r="G45" s="8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2" t="str">
        <f t="shared" si="0"/>
        <v/>
      </c>
      <c r="B46" s="86"/>
      <c r="C46" s="87"/>
      <c r="D46" s="87"/>
      <c r="E46" s="87"/>
      <c r="F46" s="89"/>
      <c r="G46" s="8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81" t="str">
        <f t="shared" si="0"/>
        <v/>
      </c>
      <c r="B47" s="86"/>
      <c r="C47" s="87"/>
      <c r="D47" s="87"/>
      <c r="E47" s="87"/>
      <c r="F47" s="89"/>
      <c r="G47" s="8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81" t="str">
        <f t="shared" si="0"/>
        <v/>
      </c>
      <c r="B48" s="86"/>
      <c r="C48" s="87"/>
      <c r="D48" s="87"/>
      <c r="E48" s="87"/>
      <c r="F48" s="89"/>
      <c r="G48" s="8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81" t="str">
        <f t="shared" si="0"/>
        <v/>
      </c>
      <c r="B49" s="86"/>
      <c r="C49" s="87"/>
      <c r="D49" s="87"/>
      <c r="E49" s="87"/>
      <c r="F49" s="89"/>
      <c r="G49" s="8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2" t="str">
        <f t="shared" si="0"/>
        <v/>
      </c>
      <c r="B50" s="86"/>
      <c r="C50" s="87"/>
      <c r="D50" s="87"/>
      <c r="E50" s="87"/>
      <c r="F50" s="89"/>
      <c r="G50" s="8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81" t="str">
        <f t="shared" si="0"/>
        <v/>
      </c>
      <c r="B51" s="86"/>
      <c r="C51" s="87"/>
      <c r="D51" s="87"/>
      <c r="E51" s="87"/>
      <c r="F51" s="89"/>
      <c r="G51" s="8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2" t="str">
        <f t="shared" si="0"/>
        <v/>
      </c>
      <c r="B52" s="86"/>
      <c r="C52" s="87"/>
      <c r="D52" s="87"/>
      <c r="E52" s="87"/>
      <c r="F52" s="89"/>
      <c r="G52" s="8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86" t="str">
        <f t="shared" si="0"/>
        <v/>
      </c>
      <c r="B53" s="86"/>
      <c r="C53" s="87"/>
      <c r="D53" s="87"/>
      <c r="E53" s="87"/>
      <c r="F53" s="89"/>
      <c r="G53" s="8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86" t="str">
        <f t="shared" si="0"/>
        <v/>
      </c>
      <c r="B54" s="86"/>
      <c r="C54" s="90"/>
      <c r="D54" s="90"/>
      <c r="E54" s="90"/>
      <c r="F54" s="91"/>
      <c r="G54" s="8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86" t="str">
        <f t="shared" si="0"/>
        <v/>
      </c>
      <c r="B55" s="86"/>
      <c r="C55" s="87"/>
      <c r="D55" s="87"/>
      <c r="E55" s="87"/>
      <c r="F55" s="92"/>
      <c r="G55" s="87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2"/>
      <c r="C56" s="3"/>
      <c r="D56" s="3"/>
      <c r="E56" s="3"/>
      <c r="F56" s="4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2"/>
      <c r="C57" s="3"/>
      <c r="D57" s="3"/>
      <c r="E57" s="3"/>
      <c r="F57" s="4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2"/>
      <c r="C58" s="3"/>
      <c r="D58" s="3"/>
      <c r="E58" s="3"/>
      <c r="F58" s="4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2"/>
      <c r="C59" s="3"/>
      <c r="D59" s="3"/>
      <c r="E59" s="3"/>
      <c r="F59" s="4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2"/>
      <c r="C60" s="3"/>
      <c r="D60" s="3"/>
      <c r="E60" s="3"/>
      <c r="F60" s="4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2"/>
      <c r="C61" s="3"/>
      <c r="D61" s="3"/>
      <c r="E61" s="3"/>
      <c r="F61" s="4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2"/>
      <c r="C62" s="3"/>
      <c r="D62" s="3"/>
      <c r="E62" s="3"/>
      <c r="F62" s="4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2"/>
      <c r="C63" s="3"/>
      <c r="D63" s="3"/>
      <c r="E63" s="3"/>
      <c r="F63" s="4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2"/>
      <c r="C64" s="3"/>
      <c r="D64" s="3"/>
      <c r="E64" s="3"/>
      <c r="F64" s="4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2"/>
      <c r="C65" s="3"/>
      <c r="D65" s="3"/>
      <c r="E65" s="3"/>
      <c r="F65" s="4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2"/>
      <c r="C66" s="3"/>
      <c r="D66" s="3"/>
      <c r="E66" s="3"/>
      <c r="F66" s="4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2"/>
      <c r="C67" s="3"/>
      <c r="D67" s="3"/>
      <c r="E67" s="3"/>
      <c r="F67" s="4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2"/>
      <c r="C68" s="3"/>
      <c r="D68" s="3"/>
      <c r="E68" s="3"/>
      <c r="F68" s="4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2"/>
      <c r="C69" s="3"/>
      <c r="D69" s="3"/>
      <c r="E69" s="3"/>
      <c r="F69" s="4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2"/>
      <c r="C70" s="3"/>
      <c r="D70" s="3"/>
      <c r="E70" s="3"/>
      <c r="F70" s="4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2"/>
      <c r="C71" s="3"/>
      <c r="D71" s="3"/>
      <c r="E71" s="3"/>
      <c r="F71" s="4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2"/>
      <c r="C72" s="3"/>
      <c r="D72" s="3"/>
      <c r="E72" s="3"/>
      <c r="F72" s="4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2"/>
      <c r="C73" s="3"/>
      <c r="D73" s="3"/>
      <c r="E73" s="3"/>
      <c r="F73" s="4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2"/>
      <c r="C74" s="3"/>
      <c r="D74" s="3"/>
      <c r="E74" s="3"/>
      <c r="F74" s="4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2"/>
      <c r="C75" s="3"/>
      <c r="D75" s="3"/>
      <c r="E75" s="3"/>
      <c r="F75" s="4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2"/>
      <c r="C76" s="3"/>
      <c r="D76" s="3"/>
      <c r="E76" s="3"/>
      <c r="F76" s="4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2"/>
      <c r="C77" s="3"/>
      <c r="D77" s="3"/>
      <c r="E77" s="3"/>
      <c r="F77" s="4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2"/>
      <c r="C78" s="3"/>
      <c r="D78" s="3"/>
      <c r="E78" s="3"/>
      <c r="F78" s="4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2"/>
      <c r="C79" s="3"/>
      <c r="D79" s="3"/>
      <c r="E79" s="3"/>
      <c r="F79" s="4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2"/>
      <c r="C80" s="3"/>
      <c r="D80" s="3"/>
      <c r="E80" s="3"/>
      <c r="F80" s="4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2"/>
      <c r="C81" s="3"/>
      <c r="D81" s="3"/>
      <c r="E81" s="3"/>
      <c r="F81" s="4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2"/>
      <c r="C82" s="3"/>
      <c r="D82" s="3"/>
      <c r="E82" s="3"/>
      <c r="F82" s="4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2"/>
      <c r="C83" s="3"/>
      <c r="D83" s="3"/>
      <c r="E83" s="3"/>
      <c r="F83" s="4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2"/>
      <c r="C84" s="3"/>
      <c r="D84" s="3"/>
      <c r="E84" s="3"/>
      <c r="F84" s="4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2"/>
      <c r="C85" s="3"/>
      <c r="D85" s="3"/>
      <c r="E85" s="3"/>
      <c r="F85" s="4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2"/>
      <c r="C86" s="3"/>
      <c r="D86" s="3"/>
      <c r="E86" s="3"/>
      <c r="F86" s="4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2"/>
      <c r="C87" s="3"/>
      <c r="D87" s="3"/>
      <c r="E87" s="3"/>
      <c r="F87" s="4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2"/>
      <c r="C88" s="3"/>
      <c r="D88" s="3"/>
      <c r="E88" s="3"/>
      <c r="F88" s="4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2"/>
      <c r="C89" s="3"/>
      <c r="D89" s="3"/>
      <c r="E89" s="3"/>
      <c r="F89" s="4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2"/>
      <c r="C90" s="3"/>
      <c r="D90" s="3"/>
      <c r="E90" s="3"/>
      <c r="F90" s="4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2"/>
      <c r="C91" s="3"/>
      <c r="D91" s="3"/>
      <c r="E91" s="3"/>
      <c r="F91" s="4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2"/>
      <c r="C92" s="3"/>
      <c r="D92" s="3"/>
      <c r="E92" s="3"/>
      <c r="F92" s="4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2"/>
      <c r="C93" s="3"/>
      <c r="D93" s="3"/>
      <c r="E93" s="3"/>
      <c r="F93" s="4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2"/>
      <c r="C94" s="3"/>
      <c r="D94" s="3"/>
      <c r="E94" s="3"/>
      <c r="F94" s="4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2"/>
      <c r="C95" s="3"/>
      <c r="D95" s="3"/>
      <c r="E95" s="3"/>
      <c r="F95" s="4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2"/>
      <c r="C96" s="3"/>
      <c r="D96" s="3"/>
      <c r="E96" s="3"/>
      <c r="F96" s="4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2"/>
      <c r="C97" s="3"/>
      <c r="D97" s="3"/>
      <c r="E97" s="3"/>
      <c r="F97" s="4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2"/>
      <c r="C98" s="3"/>
      <c r="D98" s="3"/>
      <c r="E98" s="3"/>
      <c r="F98" s="4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2"/>
      <c r="C99" s="3"/>
      <c r="D99" s="3"/>
      <c r="E99" s="3"/>
      <c r="F99" s="4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2"/>
      <c r="C100" s="3"/>
      <c r="D100" s="3"/>
      <c r="E100" s="3"/>
      <c r="F100" s="4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2"/>
      <c r="C101" s="3"/>
      <c r="D101" s="3"/>
      <c r="E101" s="3"/>
      <c r="F101" s="4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2"/>
      <c r="C102" s="3"/>
      <c r="D102" s="3"/>
      <c r="E102" s="3"/>
      <c r="F102" s="4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2"/>
      <c r="C103" s="3"/>
      <c r="D103" s="3"/>
      <c r="E103" s="3"/>
      <c r="F103" s="4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2"/>
      <c r="C104" s="3"/>
      <c r="D104" s="3"/>
      <c r="E104" s="3"/>
      <c r="F104" s="4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2"/>
      <c r="C105" s="3"/>
      <c r="D105" s="3"/>
      <c r="E105" s="3"/>
      <c r="F105" s="4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2"/>
      <c r="C106" s="3"/>
      <c r="D106" s="3"/>
      <c r="E106" s="3"/>
      <c r="F106" s="4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2"/>
      <c r="C107" s="3"/>
      <c r="D107" s="3"/>
      <c r="E107" s="3"/>
      <c r="F107" s="4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2"/>
      <c r="C108" s="3"/>
      <c r="D108" s="3"/>
      <c r="E108" s="3"/>
      <c r="F108" s="4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2"/>
      <c r="C109" s="3"/>
      <c r="D109" s="3"/>
      <c r="E109" s="3"/>
      <c r="F109" s="4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2"/>
      <c r="C110" s="3"/>
      <c r="D110" s="3"/>
      <c r="E110" s="3"/>
      <c r="F110" s="4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2"/>
      <c r="C111" s="3"/>
      <c r="D111" s="3"/>
      <c r="E111" s="3"/>
      <c r="F111" s="4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2"/>
      <c r="C112" s="3"/>
      <c r="D112" s="3"/>
      <c r="E112" s="3"/>
      <c r="F112" s="4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2"/>
      <c r="C113" s="3"/>
      <c r="D113" s="3"/>
      <c r="E113" s="3"/>
      <c r="F113" s="4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2"/>
      <c r="C114" s="3"/>
      <c r="D114" s="3"/>
      <c r="E114" s="3"/>
      <c r="F114" s="4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2"/>
      <c r="C115" s="3"/>
      <c r="D115" s="3"/>
      <c r="E115" s="3"/>
      <c r="F115" s="4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2"/>
      <c r="C116" s="3"/>
      <c r="D116" s="3"/>
      <c r="E116" s="3"/>
      <c r="F116" s="4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2"/>
      <c r="C117" s="3"/>
      <c r="D117" s="3"/>
      <c r="E117" s="3"/>
      <c r="F117" s="4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2"/>
      <c r="C118" s="3"/>
      <c r="D118" s="3"/>
      <c r="E118" s="3"/>
      <c r="F118" s="4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2"/>
      <c r="C119" s="3"/>
      <c r="D119" s="3"/>
      <c r="E119" s="3"/>
      <c r="F119" s="4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2"/>
      <c r="C120" s="3"/>
      <c r="D120" s="3"/>
      <c r="E120" s="3"/>
      <c r="F120" s="4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2"/>
      <c r="C121" s="3"/>
      <c r="D121" s="3"/>
      <c r="E121" s="3"/>
      <c r="F121" s="4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2"/>
      <c r="C122" s="3"/>
      <c r="D122" s="3"/>
      <c r="E122" s="3"/>
      <c r="F122" s="4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2"/>
      <c r="C123" s="3"/>
      <c r="D123" s="3"/>
      <c r="E123" s="3"/>
      <c r="F123" s="4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2"/>
      <c r="C124" s="3"/>
      <c r="D124" s="3"/>
      <c r="E124" s="3"/>
      <c r="F124" s="4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2"/>
      <c r="C125" s="3"/>
      <c r="D125" s="3"/>
      <c r="E125" s="3"/>
      <c r="F125" s="4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2"/>
      <c r="C126" s="3"/>
      <c r="D126" s="3"/>
      <c r="E126" s="3"/>
      <c r="F126" s="4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2"/>
      <c r="C127" s="3"/>
      <c r="D127" s="3"/>
      <c r="E127" s="3"/>
      <c r="F127" s="4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2"/>
      <c r="C128" s="3"/>
      <c r="D128" s="3"/>
      <c r="E128" s="3"/>
      <c r="F128" s="4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2"/>
      <c r="C129" s="3"/>
      <c r="D129" s="3"/>
      <c r="E129" s="3"/>
      <c r="F129" s="4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2"/>
      <c r="C130" s="3"/>
      <c r="D130" s="3"/>
      <c r="E130" s="3"/>
      <c r="F130" s="4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2"/>
      <c r="C131" s="3"/>
      <c r="D131" s="3"/>
      <c r="E131" s="3"/>
      <c r="F131" s="4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2"/>
      <c r="C132" s="3"/>
      <c r="D132" s="3"/>
      <c r="E132" s="3"/>
      <c r="F132" s="4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2"/>
      <c r="C133" s="3"/>
      <c r="D133" s="3"/>
      <c r="E133" s="3"/>
      <c r="F133" s="4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2"/>
      <c r="C134" s="3"/>
      <c r="D134" s="3"/>
      <c r="E134" s="3"/>
      <c r="F134" s="4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2"/>
      <c r="C135" s="3"/>
      <c r="D135" s="3"/>
      <c r="E135" s="3"/>
      <c r="F135" s="4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2"/>
      <c r="C136" s="3"/>
      <c r="D136" s="3"/>
      <c r="E136" s="3"/>
      <c r="F136" s="4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2"/>
      <c r="C137" s="3"/>
      <c r="D137" s="3"/>
      <c r="E137" s="3"/>
      <c r="F137" s="4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2"/>
      <c r="C138" s="3"/>
      <c r="D138" s="3"/>
      <c r="E138" s="3"/>
      <c r="F138" s="4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2"/>
      <c r="C139" s="3"/>
      <c r="D139" s="3"/>
      <c r="E139" s="3"/>
      <c r="F139" s="4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2"/>
      <c r="C140" s="3"/>
      <c r="D140" s="3"/>
      <c r="E140" s="3"/>
      <c r="F140" s="4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2"/>
      <c r="C141" s="3"/>
      <c r="D141" s="3"/>
      <c r="E141" s="3"/>
      <c r="F141" s="4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2"/>
      <c r="C142" s="3"/>
      <c r="D142" s="3"/>
      <c r="E142" s="3"/>
      <c r="F142" s="4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2"/>
      <c r="C143" s="3"/>
      <c r="D143" s="3"/>
      <c r="E143" s="3"/>
      <c r="F143" s="4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2"/>
      <c r="C144" s="3"/>
      <c r="D144" s="3"/>
      <c r="E144" s="3"/>
      <c r="F144" s="4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2"/>
      <c r="C145" s="3"/>
      <c r="D145" s="3"/>
      <c r="E145" s="3"/>
      <c r="F145" s="4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2"/>
      <c r="C146" s="3"/>
      <c r="D146" s="3"/>
      <c r="E146" s="3"/>
      <c r="F146" s="4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2"/>
      <c r="C147" s="3"/>
      <c r="D147" s="3"/>
      <c r="E147" s="3"/>
      <c r="F147" s="4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2"/>
      <c r="C148" s="3"/>
      <c r="D148" s="3"/>
      <c r="E148" s="3"/>
      <c r="F148" s="4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2"/>
      <c r="C149" s="3"/>
      <c r="D149" s="3"/>
      <c r="E149" s="3"/>
      <c r="F149" s="4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2"/>
      <c r="C150" s="3"/>
      <c r="D150" s="3"/>
      <c r="E150" s="3"/>
      <c r="F150" s="4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2"/>
      <c r="C151" s="3"/>
      <c r="D151" s="3"/>
      <c r="E151" s="3"/>
      <c r="F151" s="4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2"/>
      <c r="C152" s="3"/>
      <c r="D152" s="3"/>
      <c r="E152" s="3"/>
      <c r="F152" s="4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2"/>
      <c r="C153" s="3"/>
      <c r="D153" s="3"/>
      <c r="E153" s="3"/>
      <c r="F153" s="4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2"/>
      <c r="C154" s="3"/>
      <c r="D154" s="3"/>
      <c r="E154" s="3"/>
      <c r="F154" s="4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2"/>
      <c r="C155" s="3"/>
      <c r="D155" s="3"/>
      <c r="E155" s="3"/>
      <c r="F155" s="4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2"/>
      <c r="C156" s="3"/>
      <c r="D156" s="3"/>
      <c r="E156" s="3"/>
      <c r="F156" s="4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2"/>
      <c r="C157" s="3"/>
      <c r="D157" s="3"/>
      <c r="E157" s="3"/>
      <c r="F157" s="4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2"/>
      <c r="C158" s="3"/>
      <c r="D158" s="3"/>
      <c r="E158" s="3"/>
      <c r="F158" s="4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2"/>
      <c r="C159" s="3"/>
      <c r="D159" s="3"/>
      <c r="E159" s="3"/>
      <c r="F159" s="4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2"/>
      <c r="C160" s="3"/>
      <c r="D160" s="3"/>
      <c r="E160" s="3"/>
      <c r="F160" s="4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2"/>
      <c r="C161" s="3"/>
      <c r="D161" s="3"/>
      <c r="E161" s="3"/>
      <c r="F161" s="4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2"/>
      <c r="C162" s="3"/>
      <c r="D162" s="3"/>
      <c r="E162" s="3"/>
      <c r="F162" s="4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2"/>
      <c r="C163" s="3"/>
      <c r="D163" s="3"/>
      <c r="E163" s="3"/>
      <c r="F163" s="4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2"/>
      <c r="C164" s="3"/>
      <c r="D164" s="3"/>
      <c r="E164" s="3"/>
      <c r="F164" s="4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2"/>
      <c r="C165" s="3"/>
      <c r="D165" s="3"/>
      <c r="E165" s="3"/>
      <c r="F165" s="4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2"/>
      <c r="C166" s="3"/>
      <c r="D166" s="3"/>
      <c r="E166" s="3"/>
      <c r="F166" s="4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2"/>
      <c r="C167" s="3"/>
      <c r="D167" s="3"/>
      <c r="E167" s="3"/>
      <c r="F167" s="4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2"/>
      <c r="C168" s="3"/>
      <c r="D168" s="3"/>
      <c r="E168" s="3"/>
      <c r="F168" s="4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2"/>
      <c r="C169" s="3"/>
      <c r="D169" s="3"/>
      <c r="E169" s="3"/>
      <c r="F169" s="4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2"/>
      <c r="C170" s="3"/>
      <c r="D170" s="3"/>
      <c r="E170" s="3"/>
      <c r="F170" s="4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2"/>
      <c r="C171" s="3"/>
      <c r="D171" s="3"/>
      <c r="E171" s="3"/>
      <c r="F171" s="4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2"/>
      <c r="C172" s="3"/>
      <c r="D172" s="3"/>
      <c r="E172" s="3"/>
      <c r="F172" s="4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2"/>
      <c r="C173" s="3"/>
      <c r="D173" s="3"/>
      <c r="E173" s="3"/>
      <c r="F173" s="4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2"/>
      <c r="C174" s="3"/>
      <c r="D174" s="3"/>
      <c r="E174" s="3"/>
      <c r="F174" s="4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2"/>
      <c r="C175" s="3"/>
      <c r="D175" s="3"/>
      <c r="E175" s="3"/>
      <c r="F175" s="4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2"/>
      <c r="C176" s="3"/>
      <c r="D176" s="3"/>
      <c r="E176" s="3"/>
      <c r="F176" s="4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2"/>
      <c r="C177" s="3"/>
      <c r="D177" s="3"/>
      <c r="E177" s="3"/>
      <c r="F177" s="4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2"/>
      <c r="C178" s="3"/>
      <c r="D178" s="3"/>
      <c r="E178" s="3"/>
      <c r="F178" s="4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2"/>
      <c r="C179" s="3"/>
      <c r="D179" s="3"/>
      <c r="E179" s="3"/>
      <c r="F179" s="4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2"/>
      <c r="C180" s="3"/>
      <c r="D180" s="3"/>
      <c r="E180" s="3"/>
      <c r="F180" s="4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2"/>
      <c r="C181" s="3"/>
      <c r="D181" s="3"/>
      <c r="E181" s="3"/>
      <c r="F181" s="4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2"/>
      <c r="C182" s="3"/>
      <c r="D182" s="3"/>
      <c r="E182" s="3"/>
      <c r="F182" s="4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2"/>
      <c r="C183" s="3"/>
      <c r="D183" s="3"/>
      <c r="E183" s="3"/>
      <c r="F183" s="4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2"/>
      <c r="C184" s="3"/>
      <c r="D184" s="3"/>
      <c r="E184" s="3"/>
      <c r="F184" s="4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2"/>
      <c r="C185" s="3"/>
      <c r="D185" s="3"/>
      <c r="E185" s="3"/>
      <c r="F185" s="4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2"/>
      <c r="C186" s="3"/>
      <c r="D186" s="3"/>
      <c r="E186" s="3"/>
      <c r="F186" s="4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2"/>
      <c r="C187" s="3"/>
      <c r="D187" s="3"/>
      <c r="E187" s="3"/>
      <c r="F187" s="4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2"/>
      <c r="C188" s="3"/>
      <c r="D188" s="3"/>
      <c r="E188" s="3"/>
      <c r="F188" s="4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2"/>
      <c r="C189" s="3"/>
      <c r="D189" s="3"/>
      <c r="E189" s="3"/>
      <c r="F189" s="4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2"/>
      <c r="C190" s="3"/>
      <c r="D190" s="3"/>
      <c r="E190" s="3"/>
      <c r="F190" s="4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2"/>
      <c r="C191" s="3"/>
      <c r="D191" s="3"/>
      <c r="E191" s="3"/>
      <c r="F191" s="4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2"/>
      <c r="C192" s="3"/>
      <c r="D192" s="3"/>
      <c r="E192" s="3"/>
      <c r="F192" s="4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2"/>
      <c r="C193" s="3"/>
      <c r="D193" s="3"/>
      <c r="E193" s="3"/>
      <c r="F193" s="4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2"/>
      <c r="C194" s="3"/>
      <c r="D194" s="3"/>
      <c r="E194" s="3"/>
      <c r="F194" s="4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2"/>
      <c r="C195" s="3"/>
      <c r="D195" s="3"/>
      <c r="E195" s="3"/>
      <c r="F195" s="4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2"/>
      <c r="C196" s="3"/>
      <c r="D196" s="3"/>
      <c r="E196" s="3"/>
      <c r="F196" s="4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2"/>
      <c r="C197" s="3"/>
      <c r="D197" s="3"/>
      <c r="E197" s="3"/>
      <c r="F197" s="4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2"/>
      <c r="C198" s="3"/>
      <c r="D198" s="3"/>
      <c r="E198" s="3"/>
      <c r="F198" s="4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2"/>
      <c r="C199" s="3"/>
      <c r="D199" s="3"/>
      <c r="E199" s="3"/>
      <c r="F199" s="4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2"/>
      <c r="C200" s="3"/>
      <c r="D200" s="3"/>
      <c r="E200" s="3"/>
      <c r="F200" s="4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2"/>
      <c r="C201" s="3"/>
      <c r="D201" s="3"/>
      <c r="E201" s="3"/>
      <c r="F201" s="4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2"/>
      <c r="C202" s="3"/>
      <c r="D202" s="3"/>
      <c r="E202" s="3"/>
      <c r="F202" s="4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2"/>
      <c r="C203" s="3"/>
      <c r="D203" s="3"/>
      <c r="E203" s="3"/>
      <c r="F203" s="4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2"/>
      <c r="C204" s="3"/>
      <c r="D204" s="3"/>
      <c r="E204" s="3"/>
      <c r="F204" s="4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2"/>
      <c r="C205" s="3"/>
      <c r="D205" s="3"/>
      <c r="E205" s="3"/>
      <c r="F205" s="4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2"/>
      <c r="C206" s="3"/>
      <c r="D206" s="3"/>
      <c r="E206" s="3"/>
      <c r="F206" s="4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2"/>
      <c r="C207" s="3"/>
      <c r="D207" s="3"/>
      <c r="E207" s="3"/>
      <c r="F207" s="4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2"/>
      <c r="C208" s="3"/>
      <c r="D208" s="3"/>
      <c r="E208" s="3"/>
      <c r="F208" s="4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2"/>
      <c r="C209" s="3"/>
      <c r="D209" s="3"/>
      <c r="E209" s="3"/>
      <c r="F209" s="4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2"/>
      <c r="C210" s="3"/>
      <c r="D210" s="3"/>
      <c r="E210" s="3"/>
      <c r="F210" s="4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2"/>
      <c r="C211" s="3"/>
      <c r="D211" s="3"/>
      <c r="E211" s="3"/>
      <c r="F211" s="4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2"/>
      <c r="C212" s="3"/>
      <c r="D212" s="3"/>
      <c r="E212" s="3"/>
      <c r="F212" s="4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2"/>
      <c r="C213" s="3"/>
      <c r="D213" s="3"/>
      <c r="E213" s="3"/>
      <c r="F213" s="4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2"/>
      <c r="C214" s="3"/>
      <c r="D214" s="3"/>
      <c r="E214" s="3"/>
      <c r="F214" s="4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2"/>
      <c r="C215" s="3"/>
      <c r="D215" s="3"/>
      <c r="E215" s="3"/>
      <c r="F215" s="4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2"/>
      <c r="C216" s="3"/>
      <c r="D216" s="3"/>
      <c r="E216" s="3"/>
      <c r="F216" s="4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2"/>
      <c r="C217" s="3"/>
      <c r="D217" s="3"/>
      <c r="E217" s="3"/>
      <c r="F217" s="4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2"/>
      <c r="C218" s="3"/>
      <c r="D218" s="3"/>
      <c r="E218" s="3"/>
      <c r="F218" s="4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2"/>
      <c r="C219" s="3"/>
      <c r="D219" s="3"/>
      <c r="E219" s="3"/>
      <c r="F219" s="4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2"/>
      <c r="C220" s="3"/>
      <c r="D220" s="3"/>
      <c r="E220" s="3"/>
      <c r="F220" s="4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2"/>
      <c r="C221" s="3"/>
      <c r="D221" s="3"/>
      <c r="E221" s="3"/>
      <c r="F221" s="4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2"/>
      <c r="C222" s="3"/>
      <c r="D222" s="3"/>
      <c r="E222" s="3"/>
      <c r="F222" s="4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2"/>
      <c r="C223" s="3"/>
      <c r="D223" s="3"/>
      <c r="E223" s="3"/>
      <c r="F223" s="4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2"/>
      <c r="C224" s="3"/>
      <c r="D224" s="3"/>
      <c r="E224" s="3"/>
      <c r="F224" s="4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2"/>
      <c r="C225" s="3"/>
      <c r="D225" s="3"/>
      <c r="E225" s="3"/>
      <c r="F225" s="4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2"/>
      <c r="C226" s="3"/>
      <c r="D226" s="3"/>
      <c r="E226" s="3"/>
      <c r="F226" s="4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2"/>
      <c r="C227" s="3"/>
      <c r="D227" s="3"/>
      <c r="E227" s="3"/>
      <c r="F227" s="4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2"/>
      <c r="C228" s="3"/>
      <c r="D228" s="3"/>
      <c r="E228" s="3"/>
      <c r="F228" s="4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2"/>
      <c r="C229" s="3"/>
      <c r="D229" s="3"/>
      <c r="E229" s="3"/>
      <c r="F229" s="4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2"/>
      <c r="C230" s="3"/>
      <c r="D230" s="3"/>
      <c r="E230" s="3"/>
      <c r="F230" s="4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2"/>
      <c r="C231" s="3"/>
      <c r="D231" s="3"/>
      <c r="E231" s="3"/>
      <c r="F231" s="4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2"/>
      <c r="C232" s="3"/>
      <c r="D232" s="3"/>
      <c r="E232" s="3"/>
      <c r="F232" s="4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2"/>
      <c r="C233" s="3"/>
      <c r="D233" s="3"/>
      <c r="E233" s="3"/>
      <c r="F233" s="4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2"/>
      <c r="C234" s="3"/>
      <c r="D234" s="3"/>
      <c r="E234" s="3"/>
      <c r="F234" s="4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2"/>
      <c r="C235" s="3"/>
      <c r="D235" s="3"/>
      <c r="E235" s="3"/>
      <c r="F235" s="4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2"/>
      <c r="C236" s="3"/>
      <c r="D236" s="3"/>
      <c r="E236" s="3"/>
      <c r="F236" s="4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2"/>
      <c r="C237" s="3"/>
      <c r="D237" s="3"/>
      <c r="E237" s="3"/>
      <c r="F237" s="4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2"/>
      <c r="C238" s="3"/>
      <c r="D238" s="3"/>
      <c r="E238" s="3"/>
      <c r="F238" s="4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2"/>
      <c r="C239" s="3"/>
      <c r="D239" s="3"/>
      <c r="E239" s="3"/>
      <c r="F239" s="4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2"/>
      <c r="C240" s="3"/>
      <c r="D240" s="3"/>
      <c r="E240" s="3"/>
      <c r="F240" s="4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2"/>
      <c r="C241" s="3"/>
      <c r="D241" s="3"/>
      <c r="E241" s="3"/>
      <c r="F241" s="4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2"/>
      <c r="C242" s="3"/>
      <c r="D242" s="3"/>
      <c r="E242" s="3"/>
      <c r="F242" s="4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2"/>
      <c r="C243" s="3"/>
      <c r="D243" s="3"/>
      <c r="E243" s="3"/>
      <c r="F243" s="4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2"/>
      <c r="C244" s="3"/>
      <c r="D244" s="3"/>
      <c r="E244" s="3"/>
      <c r="F244" s="4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2"/>
      <c r="C245" s="3"/>
      <c r="D245" s="3"/>
      <c r="E245" s="3"/>
      <c r="F245" s="4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2"/>
      <c r="C246" s="3"/>
      <c r="D246" s="3"/>
      <c r="E246" s="3"/>
      <c r="F246" s="4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2"/>
      <c r="C247" s="3"/>
      <c r="D247" s="3"/>
      <c r="E247" s="3"/>
      <c r="F247" s="4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2"/>
      <c r="C248" s="3"/>
      <c r="D248" s="3"/>
      <c r="E248" s="3"/>
      <c r="F248" s="4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2"/>
      <c r="C249" s="3"/>
      <c r="D249" s="3"/>
      <c r="E249" s="3"/>
      <c r="F249" s="4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2"/>
      <c r="C250" s="3"/>
      <c r="D250" s="3"/>
      <c r="E250" s="3"/>
      <c r="F250" s="4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2"/>
      <c r="C251" s="3"/>
      <c r="D251" s="3"/>
      <c r="E251" s="3"/>
      <c r="F251" s="4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2"/>
      <c r="C252" s="3"/>
      <c r="D252" s="3"/>
      <c r="E252" s="3"/>
      <c r="F252" s="4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2"/>
      <c r="C253" s="3"/>
      <c r="D253" s="3"/>
      <c r="E253" s="3"/>
      <c r="F253" s="4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2"/>
      <c r="C254" s="3"/>
      <c r="D254" s="3"/>
      <c r="E254" s="3"/>
      <c r="F254" s="4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2"/>
      <c r="C255" s="3"/>
      <c r="D255" s="3"/>
      <c r="E255" s="3"/>
      <c r="F255" s="4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2"/>
      <c r="C256" s="3"/>
      <c r="D256" s="3"/>
      <c r="E256" s="3"/>
      <c r="F256" s="4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2"/>
      <c r="C257" s="3"/>
      <c r="D257" s="3"/>
      <c r="E257" s="3"/>
      <c r="F257" s="4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2"/>
      <c r="C258" s="3"/>
      <c r="D258" s="3"/>
      <c r="E258" s="3"/>
      <c r="F258" s="4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2"/>
      <c r="C259" s="3"/>
      <c r="D259" s="3"/>
      <c r="E259" s="3"/>
      <c r="F259" s="4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2"/>
      <c r="C260" s="3"/>
      <c r="D260" s="3"/>
      <c r="E260" s="3"/>
      <c r="F260" s="4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2"/>
      <c r="C261" s="3"/>
      <c r="D261" s="3"/>
      <c r="E261" s="3"/>
      <c r="F261" s="4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2"/>
      <c r="C262" s="3"/>
      <c r="D262" s="3"/>
      <c r="E262" s="3"/>
      <c r="F262" s="4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2"/>
      <c r="C263" s="3"/>
      <c r="D263" s="3"/>
      <c r="E263" s="3"/>
      <c r="F263" s="4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2"/>
      <c r="C264" s="3"/>
      <c r="D264" s="3"/>
      <c r="E264" s="3"/>
      <c r="F264" s="4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2"/>
      <c r="C265" s="3"/>
      <c r="D265" s="3"/>
      <c r="E265" s="3"/>
      <c r="F265" s="4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2"/>
      <c r="C266" s="3"/>
      <c r="D266" s="3"/>
      <c r="E266" s="3"/>
      <c r="F266" s="4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2"/>
      <c r="C267" s="3"/>
      <c r="D267" s="3"/>
      <c r="E267" s="3"/>
      <c r="F267" s="4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2"/>
      <c r="C268" s="3"/>
      <c r="D268" s="3"/>
      <c r="E268" s="3"/>
      <c r="F268" s="4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2"/>
      <c r="C269" s="3"/>
      <c r="D269" s="3"/>
      <c r="E269" s="3"/>
      <c r="F269" s="4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2"/>
      <c r="C270" s="3"/>
      <c r="D270" s="3"/>
      <c r="E270" s="3"/>
      <c r="F270" s="4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2"/>
      <c r="C271" s="3"/>
      <c r="D271" s="3"/>
      <c r="E271" s="3"/>
      <c r="F271" s="4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2"/>
      <c r="C272" s="3"/>
      <c r="D272" s="3"/>
      <c r="E272" s="3"/>
      <c r="F272" s="4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2"/>
      <c r="C273" s="3"/>
      <c r="D273" s="3"/>
      <c r="E273" s="3"/>
      <c r="F273" s="4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2"/>
      <c r="C274" s="3"/>
      <c r="D274" s="3"/>
      <c r="E274" s="3"/>
      <c r="F274" s="4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2"/>
      <c r="C275" s="3"/>
      <c r="D275" s="3"/>
      <c r="E275" s="3"/>
      <c r="F275" s="4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2"/>
      <c r="C276" s="3"/>
      <c r="D276" s="3"/>
      <c r="E276" s="3"/>
      <c r="F276" s="4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2"/>
      <c r="C277" s="3"/>
      <c r="D277" s="3"/>
      <c r="E277" s="3"/>
      <c r="F277" s="4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2"/>
      <c r="C278" s="3"/>
      <c r="D278" s="3"/>
      <c r="E278" s="3"/>
      <c r="F278" s="4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2"/>
      <c r="C279" s="3"/>
      <c r="D279" s="3"/>
      <c r="E279" s="3"/>
      <c r="F279" s="4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2"/>
      <c r="C280" s="3"/>
      <c r="D280" s="3"/>
      <c r="E280" s="3"/>
      <c r="F280" s="4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2"/>
      <c r="C281" s="3"/>
      <c r="D281" s="3"/>
      <c r="E281" s="3"/>
      <c r="F281" s="4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2"/>
      <c r="C282" s="3"/>
      <c r="D282" s="3"/>
      <c r="E282" s="3"/>
      <c r="F282" s="4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2"/>
      <c r="C283" s="3"/>
      <c r="D283" s="3"/>
      <c r="E283" s="3"/>
      <c r="F283" s="4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2"/>
      <c r="C284" s="3"/>
      <c r="D284" s="3"/>
      <c r="E284" s="3"/>
      <c r="F284" s="4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2"/>
      <c r="C285" s="3"/>
      <c r="D285" s="3"/>
      <c r="E285" s="3"/>
      <c r="F285" s="4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2"/>
      <c r="C286" s="3"/>
      <c r="D286" s="3"/>
      <c r="E286" s="3"/>
      <c r="F286" s="4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2"/>
      <c r="C287" s="3"/>
      <c r="D287" s="3"/>
      <c r="E287" s="3"/>
      <c r="F287" s="4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2"/>
      <c r="C288" s="3"/>
      <c r="D288" s="3"/>
      <c r="E288" s="3"/>
      <c r="F288" s="4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2"/>
      <c r="C289" s="3"/>
      <c r="D289" s="3"/>
      <c r="E289" s="3"/>
      <c r="F289" s="4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2"/>
      <c r="C290" s="3"/>
      <c r="D290" s="3"/>
      <c r="E290" s="3"/>
      <c r="F290" s="4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2"/>
      <c r="C291" s="3"/>
      <c r="D291" s="3"/>
      <c r="E291" s="3"/>
      <c r="F291" s="4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2"/>
      <c r="C292" s="3"/>
      <c r="D292" s="3"/>
      <c r="E292" s="3"/>
      <c r="F292" s="4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2"/>
      <c r="C293" s="3"/>
      <c r="D293" s="3"/>
      <c r="E293" s="3"/>
      <c r="F293" s="4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2"/>
      <c r="C294" s="3"/>
      <c r="D294" s="3"/>
      <c r="E294" s="3"/>
      <c r="F294" s="4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2"/>
      <c r="C295" s="3"/>
      <c r="D295" s="3"/>
      <c r="E295" s="3"/>
      <c r="F295" s="4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2"/>
      <c r="C296" s="3"/>
      <c r="D296" s="3"/>
      <c r="E296" s="3"/>
      <c r="F296" s="4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2"/>
      <c r="C297" s="3"/>
      <c r="D297" s="3"/>
      <c r="E297" s="3"/>
      <c r="F297" s="4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2"/>
      <c r="C298" s="3"/>
      <c r="D298" s="3"/>
      <c r="E298" s="3"/>
      <c r="F298" s="4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2"/>
      <c r="C299" s="3"/>
      <c r="D299" s="3"/>
      <c r="E299" s="3"/>
      <c r="F299" s="4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2"/>
      <c r="C300" s="3"/>
      <c r="D300" s="3"/>
      <c r="E300" s="3"/>
      <c r="F300" s="4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2"/>
      <c r="C301" s="3"/>
      <c r="D301" s="3"/>
      <c r="E301" s="3"/>
      <c r="F301" s="4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2"/>
      <c r="C302" s="3"/>
      <c r="D302" s="3"/>
      <c r="E302" s="3"/>
      <c r="F302" s="4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2"/>
      <c r="C303" s="3"/>
      <c r="D303" s="3"/>
      <c r="E303" s="3"/>
      <c r="F303" s="4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2"/>
      <c r="C304" s="3"/>
      <c r="D304" s="3"/>
      <c r="E304" s="3"/>
      <c r="F304" s="4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2"/>
      <c r="C305" s="3"/>
      <c r="D305" s="3"/>
      <c r="E305" s="3"/>
      <c r="F305" s="4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2"/>
      <c r="C306" s="3"/>
      <c r="D306" s="3"/>
      <c r="E306" s="3"/>
      <c r="F306" s="4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2"/>
      <c r="C307" s="3"/>
      <c r="D307" s="3"/>
      <c r="E307" s="3"/>
      <c r="F307" s="4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2"/>
      <c r="C308" s="3"/>
      <c r="D308" s="3"/>
      <c r="E308" s="3"/>
      <c r="F308" s="4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2"/>
      <c r="C309" s="3"/>
      <c r="D309" s="3"/>
      <c r="E309" s="3"/>
      <c r="F309" s="4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2"/>
      <c r="C310" s="3"/>
      <c r="D310" s="3"/>
      <c r="E310" s="3"/>
      <c r="F310" s="4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2"/>
      <c r="C311" s="3"/>
      <c r="D311" s="3"/>
      <c r="E311" s="3"/>
      <c r="F311" s="4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2"/>
      <c r="C312" s="3"/>
      <c r="D312" s="3"/>
      <c r="E312" s="3"/>
      <c r="F312" s="4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2"/>
      <c r="C313" s="3"/>
      <c r="D313" s="3"/>
      <c r="E313" s="3"/>
      <c r="F313" s="4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2"/>
      <c r="C314" s="3"/>
      <c r="D314" s="3"/>
      <c r="E314" s="3"/>
      <c r="F314" s="4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2"/>
      <c r="C315" s="3"/>
      <c r="D315" s="3"/>
      <c r="E315" s="3"/>
      <c r="F315" s="4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2"/>
      <c r="C316" s="3"/>
      <c r="D316" s="3"/>
      <c r="E316" s="3"/>
      <c r="F316" s="4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2"/>
      <c r="C317" s="3"/>
      <c r="D317" s="3"/>
      <c r="E317" s="3"/>
      <c r="F317" s="4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2"/>
      <c r="C318" s="3"/>
      <c r="D318" s="3"/>
      <c r="E318" s="3"/>
      <c r="F318" s="4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2"/>
      <c r="C319" s="3"/>
      <c r="D319" s="3"/>
      <c r="E319" s="3"/>
      <c r="F319" s="4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2"/>
      <c r="C320" s="3"/>
      <c r="D320" s="3"/>
      <c r="E320" s="3"/>
      <c r="F320" s="4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2"/>
      <c r="C321" s="3"/>
      <c r="D321" s="3"/>
      <c r="E321" s="3"/>
      <c r="F321" s="4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2"/>
      <c r="C322" s="3"/>
      <c r="D322" s="3"/>
      <c r="E322" s="3"/>
      <c r="F322" s="4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2"/>
      <c r="C323" s="3"/>
      <c r="D323" s="3"/>
      <c r="E323" s="3"/>
      <c r="F323" s="4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2"/>
      <c r="C324" s="3"/>
      <c r="D324" s="3"/>
      <c r="E324" s="3"/>
      <c r="F324" s="4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2"/>
      <c r="C325" s="3"/>
      <c r="D325" s="3"/>
      <c r="E325" s="3"/>
      <c r="F325" s="4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2"/>
      <c r="C326" s="3"/>
      <c r="D326" s="3"/>
      <c r="E326" s="3"/>
      <c r="F326" s="4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2"/>
      <c r="C327" s="3"/>
      <c r="D327" s="3"/>
      <c r="E327" s="3"/>
      <c r="F327" s="4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2"/>
      <c r="C328" s="3"/>
      <c r="D328" s="3"/>
      <c r="E328" s="3"/>
      <c r="F328" s="4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2"/>
      <c r="C329" s="3"/>
      <c r="D329" s="3"/>
      <c r="E329" s="3"/>
      <c r="F329" s="4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2"/>
      <c r="C330" s="3"/>
      <c r="D330" s="3"/>
      <c r="E330" s="3"/>
      <c r="F330" s="4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2"/>
      <c r="C331" s="3"/>
      <c r="D331" s="3"/>
      <c r="E331" s="3"/>
      <c r="F331" s="4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2"/>
      <c r="C332" s="3"/>
      <c r="D332" s="3"/>
      <c r="E332" s="3"/>
      <c r="F332" s="4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2"/>
      <c r="C333" s="3"/>
      <c r="D333" s="3"/>
      <c r="E333" s="3"/>
      <c r="F333" s="4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2"/>
      <c r="C334" s="3"/>
      <c r="D334" s="3"/>
      <c r="E334" s="3"/>
      <c r="F334" s="4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2"/>
      <c r="C335" s="3"/>
      <c r="D335" s="3"/>
      <c r="E335" s="3"/>
      <c r="F335" s="4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2"/>
      <c r="C336" s="3"/>
      <c r="D336" s="3"/>
      <c r="E336" s="3"/>
      <c r="F336" s="4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2"/>
      <c r="C337" s="3"/>
      <c r="D337" s="3"/>
      <c r="E337" s="3"/>
      <c r="F337" s="4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2"/>
      <c r="C338" s="3"/>
      <c r="D338" s="3"/>
      <c r="E338" s="3"/>
      <c r="F338" s="4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2"/>
      <c r="C339" s="3"/>
      <c r="D339" s="3"/>
      <c r="E339" s="3"/>
      <c r="F339" s="4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2"/>
      <c r="C340" s="3"/>
      <c r="D340" s="3"/>
      <c r="E340" s="3"/>
      <c r="F340" s="4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2"/>
      <c r="C341" s="3"/>
      <c r="D341" s="3"/>
      <c r="E341" s="3"/>
      <c r="F341" s="4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2"/>
      <c r="C342" s="3"/>
      <c r="D342" s="3"/>
      <c r="E342" s="3"/>
      <c r="F342" s="4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2"/>
      <c r="C343" s="3"/>
      <c r="D343" s="3"/>
      <c r="E343" s="3"/>
      <c r="F343" s="4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2"/>
      <c r="C344" s="3"/>
      <c r="D344" s="3"/>
      <c r="E344" s="3"/>
      <c r="F344" s="4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2"/>
      <c r="C345" s="3"/>
      <c r="D345" s="3"/>
      <c r="E345" s="3"/>
      <c r="F345" s="4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2"/>
      <c r="C346" s="3"/>
      <c r="D346" s="3"/>
      <c r="E346" s="3"/>
      <c r="F346" s="4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2"/>
      <c r="C347" s="3"/>
      <c r="D347" s="3"/>
      <c r="E347" s="3"/>
      <c r="F347" s="4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2"/>
      <c r="C348" s="3"/>
      <c r="D348" s="3"/>
      <c r="E348" s="3"/>
      <c r="F348" s="4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2"/>
      <c r="C349" s="3"/>
      <c r="D349" s="3"/>
      <c r="E349" s="3"/>
      <c r="F349" s="4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2"/>
      <c r="C350" s="3"/>
      <c r="D350" s="3"/>
      <c r="E350" s="3"/>
      <c r="F350" s="4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2"/>
      <c r="C351" s="3"/>
      <c r="D351" s="3"/>
      <c r="E351" s="3"/>
      <c r="F351" s="4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2"/>
      <c r="C352" s="3"/>
      <c r="D352" s="3"/>
      <c r="E352" s="3"/>
      <c r="F352" s="4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2"/>
      <c r="C353" s="3"/>
      <c r="D353" s="3"/>
      <c r="E353" s="3"/>
      <c r="F353" s="4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2"/>
      <c r="C354" s="3"/>
      <c r="D354" s="3"/>
      <c r="E354" s="3"/>
      <c r="F354" s="4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2"/>
      <c r="C355" s="3"/>
      <c r="D355" s="3"/>
      <c r="E355" s="3"/>
      <c r="F355" s="4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2"/>
      <c r="C356" s="3"/>
      <c r="D356" s="3"/>
      <c r="E356" s="3"/>
      <c r="F356" s="4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2"/>
      <c r="C357" s="3"/>
      <c r="D357" s="3"/>
      <c r="E357" s="3"/>
      <c r="F357" s="4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2"/>
      <c r="C358" s="3"/>
      <c r="D358" s="3"/>
      <c r="E358" s="3"/>
      <c r="F358" s="4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2"/>
      <c r="C359" s="3"/>
      <c r="D359" s="3"/>
      <c r="E359" s="3"/>
      <c r="F359" s="4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2"/>
      <c r="C360" s="3"/>
      <c r="D360" s="3"/>
      <c r="E360" s="3"/>
      <c r="F360" s="4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2"/>
      <c r="C361" s="3"/>
      <c r="D361" s="3"/>
      <c r="E361" s="3"/>
      <c r="F361" s="4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2"/>
      <c r="C362" s="3"/>
      <c r="D362" s="3"/>
      <c r="E362" s="3"/>
      <c r="F362" s="4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2"/>
      <c r="C363" s="3"/>
      <c r="D363" s="3"/>
      <c r="E363" s="3"/>
      <c r="F363" s="4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2"/>
      <c r="C364" s="3"/>
      <c r="D364" s="3"/>
      <c r="E364" s="3"/>
      <c r="F364" s="4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2"/>
      <c r="C365" s="3"/>
      <c r="D365" s="3"/>
      <c r="E365" s="3"/>
      <c r="F365" s="4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2"/>
      <c r="C366" s="3"/>
      <c r="D366" s="3"/>
      <c r="E366" s="3"/>
      <c r="F366" s="4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2"/>
      <c r="C367" s="3"/>
      <c r="D367" s="3"/>
      <c r="E367" s="3"/>
      <c r="F367" s="4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2"/>
      <c r="C368" s="3"/>
      <c r="D368" s="3"/>
      <c r="E368" s="3"/>
      <c r="F368" s="4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2"/>
      <c r="C369" s="3"/>
      <c r="D369" s="3"/>
      <c r="E369" s="3"/>
      <c r="F369" s="4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2"/>
      <c r="C370" s="3"/>
      <c r="D370" s="3"/>
      <c r="E370" s="3"/>
      <c r="F370" s="4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2"/>
      <c r="C371" s="3"/>
      <c r="D371" s="3"/>
      <c r="E371" s="3"/>
      <c r="F371" s="4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2"/>
      <c r="C372" s="3"/>
      <c r="D372" s="3"/>
      <c r="E372" s="3"/>
      <c r="F372" s="4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2"/>
      <c r="C373" s="3"/>
      <c r="D373" s="3"/>
      <c r="E373" s="3"/>
      <c r="F373" s="4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2"/>
      <c r="C374" s="3"/>
      <c r="D374" s="3"/>
      <c r="E374" s="3"/>
      <c r="F374" s="4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2"/>
      <c r="C375" s="3"/>
      <c r="D375" s="3"/>
      <c r="E375" s="3"/>
      <c r="F375" s="4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2"/>
      <c r="C376" s="3"/>
      <c r="D376" s="3"/>
      <c r="E376" s="3"/>
      <c r="F376" s="4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2"/>
      <c r="C377" s="3"/>
      <c r="D377" s="3"/>
      <c r="E377" s="3"/>
      <c r="F377" s="4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2"/>
      <c r="C378" s="3"/>
      <c r="D378" s="3"/>
      <c r="E378" s="3"/>
      <c r="F378" s="4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2"/>
      <c r="C379" s="3"/>
      <c r="D379" s="3"/>
      <c r="E379" s="3"/>
      <c r="F379" s="4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2"/>
      <c r="C380" s="3"/>
      <c r="D380" s="3"/>
      <c r="E380" s="3"/>
      <c r="F380" s="4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2"/>
      <c r="C381" s="3"/>
      <c r="D381" s="3"/>
      <c r="E381" s="3"/>
      <c r="F381" s="4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2"/>
      <c r="C382" s="3"/>
      <c r="D382" s="3"/>
      <c r="E382" s="3"/>
      <c r="F382" s="4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2"/>
      <c r="C383" s="3"/>
      <c r="D383" s="3"/>
      <c r="E383" s="3"/>
      <c r="F383" s="4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2"/>
      <c r="C384" s="3"/>
      <c r="D384" s="3"/>
      <c r="E384" s="3"/>
      <c r="F384" s="4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2"/>
      <c r="C385" s="3"/>
      <c r="D385" s="3"/>
      <c r="E385" s="3"/>
      <c r="F385" s="4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2"/>
      <c r="C386" s="3"/>
      <c r="D386" s="3"/>
      <c r="E386" s="3"/>
      <c r="F386" s="4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2"/>
      <c r="C387" s="3"/>
      <c r="D387" s="3"/>
      <c r="E387" s="3"/>
      <c r="F387" s="4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2"/>
      <c r="C388" s="3"/>
      <c r="D388" s="3"/>
      <c r="E388" s="3"/>
      <c r="F388" s="4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2"/>
      <c r="C389" s="3"/>
      <c r="D389" s="3"/>
      <c r="E389" s="3"/>
      <c r="F389" s="4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2"/>
      <c r="C390" s="3"/>
      <c r="D390" s="3"/>
      <c r="E390" s="3"/>
      <c r="F390" s="4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2"/>
      <c r="C391" s="3"/>
      <c r="D391" s="3"/>
      <c r="E391" s="3"/>
      <c r="F391" s="4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2"/>
      <c r="C392" s="3"/>
      <c r="D392" s="3"/>
      <c r="E392" s="3"/>
      <c r="F392" s="4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2"/>
      <c r="C393" s="3"/>
      <c r="D393" s="3"/>
      <c r="E393" s="3"/>
      <c r="F393" s="4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2"/>
      <c r="C394" s="3"/>
      <c r="D394" s="3"/>
      <c r="E394" s="3"/>
      <c r="F394" s="4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2"/>
      <c r="C395" s="3"/>
      <c r="D395" s="3"/>
      <c r="E395" s="3"/>
      <c r="F395" s="4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2"/>
      <c r="C396" s="3"/>
      <c r="D396" s="3"/>
      <c r="E396" s="3"/>
      <c r="F396" s="4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2"/>
      <c r="C397" s="3"/>
      <c r="D397" s="3"/>
      <c r="E397" s="3"/>
      <c r="F397" s="4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2"/>
      <c r="C398" s="3"/>
      <c r="D398" s="3"/>
      <c r="E398" s="3"/>
      <c r="F398" s="4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2"/>
      <c r="C399" s="3"/>
      <c r="D399" s="3"/>
      <c r="E399" s="3"/>
      <c r="F399" s="4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2"/>
      <c r="C400" s="3"/>
      <c r="D400" s="3"/>
      <c r="E400" s="3"/>
      <c r="F400" s="4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2"/>
      <c r="C401" s="3"/>
      <c r="D401" s="3"/>
      <c r="E401" s="3"/>
      <c r="F401" s="4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2"/>
      <c r="C402" s="3"/>
      <c r="D402" s="3"/>
      <c r="E402" s="3"/>
      <c r="F402" s="4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2"/>
      <c r="C403" s="3"/>
      <c r="D403" s="3"/>
      <c r="E403" s="3"/>
      <c r="F403" s="4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2"/>
      <c r="C404" s="3"/>
      <c r="D404" s="3"/>
      <c r="E404" s="3"/>
      <c r="F404" s="4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2"/>
      <c r="C405" s="3"/>
      <c r="D405" s="3"/>
      <c r="E405" s="3"/>
      <c r="F405" s="4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2"/>
      <c r="C406" s="3"/>
      <c r="D406" s="3"/>
      <c r="E406" s="3"/>
      <c r="F406" s="4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2"/>
      <c r="C407" s="3"/>
      <c r="D407" s="3"/>
      <c r="E407" s="3"/>
      <c r="F407" s="4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2"/>
      <c r="C408" s="3"/>
      <c r="D408" s="3"/>
      <c r="E408" s="3"/>
      <c r="F408" s="4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2"/>
      <c r="C409" s="3"/>
      <c r="D409" s="3"/>
      <c r="E409" s="3"/>
      <c r="F409" s="4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2"/>
      <c r="C410" s="3"/>
      <c r="D410" s="3"/>
      <c r="E410" s="3"/>
      <c r="F410" s="4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2"/>
      <c r="C411" s="3"/>
      <c r="D411" s="3"/>
      <c r="E411" s="3"/>
      <c r="F411" s="4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2"/>
      <c r="C412" s="3"/>
      <c r="D412" s="3"/>
      <c r="E412" s="3"/>
      <c r="F412" s="4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2"/>
      <c r="C413" s="3"/>
      <c r="D413" s="3"/>
      <c r="E413" s="3"/>
      <c r="F413" s="4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2"/>
      <c r="C414" s="3"/>
      <c r="D414" s="3"/>
      <c r="E414" s="3"/>
      <c r="F414" s="4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2"/>
      <c r="C415" s="3"/>
      <c r="D415" s="3"/>
      <c r="E415" s="3"/>
      <c r="F415" s="4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2"/>
      <c r="C416" s="3"/>
      <c r="D416" s="3"/>
      <c r="E416" s="3"/>
      <c r="F416" s="4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2"/>
      <c r="C417" s="3"/>
      <c r="D417" s="3"/>
      <c r="E417" s="3"/>
      <c r="F417" s="4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2"/>
      <c r="C418" s="3"/>
      <c r="D418" s="3"/>
      <c r="E418" s="3"/>
      <c r="F418" s="4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2"/>
      <c r="C419" s="3"/>
      <c r="D419" s="3"/>
      <c r="E419" s="3"/>
      <c r="F419" s="4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2"/>
      <c r="C420" s="3"/>
      <c r="D420" s="3"/>
      <c r="E420" s="3"/>
      <c r="F420" s="4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2"/>
      <c r="C421" s="3"/>
      <c r="D421" s="3"/>
      <c r="E421" s="3"/>
      <c r="F421" s="4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2"/>
      <c r="C422" s="3"/>
      <c r="D422" s="3"/>
      <c r="E422" s="3"/>
      <c r="F422" s="4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2"/>
      <c r="C423" s="3"/>
      <c r="D423" s="3"/>
      <c r="E423" s="3"/>
      <c r="F423" s="4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2"/>
      <c r="C424" s="3"/>
      <c r="D424" s="3"/>
      <c r="E424" s="3"/>
      <c r="F424" s="4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2"/>
      <c r="C425" s="3"/>
      <c r="D425" s="3"/>
      <c r="E425" s="3"/>
      <c r="F425" s="4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2"/>
      <c r="C426" s="3"/>
      <c r="D426" s="3"/>
      <c r="E426" s="3"/>
      <c r="F426" s="4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2"/>
      <c r="C427" s="3"/>
      <c r="D427" s="3"/>
      <c r="E427" s="3"/>
      <c r="F427" s="4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2"/>
      <c r="C428" s="3"/>
      <c r="D428" s="3"/>
      <c r="E428" s="3"/>
      <c r="F428" s="4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2"/>
      <c r="C429" s="3"/>
      <c r="D429" s="3"/>
      <c r="E429" s="3"/>
      <c r="F429" s="4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2"/>
      <c r="C430" s="3"/>
      <c r="D430" s="3"/>
      <c r="E430" s="3"/>
      <c r="F430" s="4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2"/>
      <c r="C431" s="3"/>
      <c r="D431" s="3"/>
      <c r="E431" s="3"/>
      <c r="F431" s="4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2"/>
      <c r="C432" s="3"/>
      <c r="D432" s="3"/>
      <c r="E432" s="3"/>
      <c r="F432" s="4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2"/>
      <c r="C433" s="3"/>
      <c r="D433" s="3"/>
      <c r="E433" s="3"/>
      <c r="F433" s="4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2"/>
      <c r="C434" s="3"/>
      <c r="D434" s="3"/>
      <c r="E434" s="3"/>
      <c r="F434" s="4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2"/>
      <c r="C435" s="3"/>
      <c r="D435" s="3"/>
      <c r="E435" s="3"/>
      <c r="F435" s="4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2"/>
      <c r="C436" s="3"/>
      <c r="D436" s="3"/>
      <c r="E436" s="3"/>
      <c r="F436" s="4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2"/>
      <c r="C437" s="3"/>
      <c r="D437" s="3"/>
      <c r="E437" s="3"/>
      <c r="F437" s="4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2"/>
      <c r="C438" s="3"/>
      <c r="D438" s="3"/>
      <c r="E438" s="3"/>
      <c r="F438" s="4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2"/>
      <c r="C439" s="3"/>
      <c r="D439" s="3"/>
      <c r="E439" s="3"/>
      <c r="F439" s="4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2"/>
      <c r="C440" s="3"/>
      <c r="D440" s="3"/>
      <c r="E440" s="3"/>
      <c r="F440" s="4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2"/>
      <c r="C441" s="3"/>
      <c r="D441" s="3"/>
      <c r="E441" s="3"/>
      <c r="F441" s="4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2"/>
      <c r="C442" s="3"/>
      <c r="D442" s="3"/>
      <c r="E442" s="3"/>
      <c r="F442" s="4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2"/>
      <c r="C443" s="3"/>
      <c r="D443" s="3"/>
      <c r="E443" s="3"/>
      <c r="F443" s="4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2"/>
      <c r="C444" s="3"/>
      <c r="D444" s="3"/>
      <c r="E444" s="3"/>
      <c r="F444" s="4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2"/>
      <c r="C445" s="3"/>
      <c r="D445" s="3"/>
      <c r="E445" s="3"/>
      <c r="F445" s="4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2"/>
      <c r="C446" s="3"/>
      <c r="D446" s="3"/>
      <c r="E446" s="3"/>
      <c r="F446" s="4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2"/>
      <c r="C447" s="3"/>
      <c r="D447" s="3"/>
      <c r="E447" s="3"/>
      <c r="F447" s="4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2"/>
      <c r="C448" s="3"/>
      <c r="D448" s="3"/>
      <c r="E448" s="3"/>
      <c r="F448" s="4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2"/>
      <c r="C449" s="3"/>
      <c r="D449" s="3"/>
      <c r="E449" s="3"/>
      <c r="F449" s="4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2"/>
      <c r="C450" s="3"/>
      <c r="D450" s="3"/>
      <c r="E450" s="3"/>
      <c r="F450" s="4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2"/>
      <c r="C451" s="3"/>
      <c r="D451" s="3"/>
      <c r="E451" s="3"/>
      <c r="F451" s="4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2"/>
      <c r="C452" s="3"/>
      <c r="D452" s="3"/>
      <c r="E452" s="3"/>
      <c r="F452" s="4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2"/>
      <c r="C453" s="3"/>
      <c r="D453" s="3"/>
      <c r="E453" s="3"/>
      <c r="F453" s="4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2"/>
      <c r="C454" s="3"/>
      <c r="D454" s="3"/>
      <c r="E454" s="3"/>
      <c r="F454" s="4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2"/>
      <c r="C455" s="3"/>
      <c r="D455" s="3"/>
      <c r="E455" s="3"/>
      <c r="F455" s="4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2"/>
      <c r="C456" s="3"/>
      <c r="D456" s="3"/>
      <c r="E456" s="3"/>
      <c r="F456" s="4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2"/>
      <c r="C457" s="3"/>
      <c r="D457" s="3"/>
      <c r="E457" s="3"/>
      <c r="F457" s="4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2"/>
      <c r="C458" s="3"/>
      <c r="D458" s="3"/>
      <c r="E458" s="3"/>
      <c r="F458" s="4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2"/>
      <c r="C459" s="3"/>
      <c r="D459" s="3"/>
      <c r="E459" s="3"/>
      <c r="F459" s="4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2"/>
      <c r="C460" s="3"/>
      <c r="D460" s="3"/>
      <c r="E460" s="3"/>
      <c r="F460" s="4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2"/>
      <c r="C461" s="3"/>
      <c r="D461" s="3"/>
      <c r="E461" s="3"/>
      <c r="F461" s="4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2"/>
      <c r="C462" s="3"/>
      <c r="D462" s="3"/>
      <c r="E462" s="3"/>
      <c r="F462" s="4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2"/>
      <c r="C463" s="3"/>
      <c r="D463" s="3"/>
      <c r="E463" s="3"/>
      <c r="F463" s="4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2"/>
      <c r="C464" s="3"/>
      <c r="D464" s="3"/>
      <c r="E464" s="3"/>
      <c r="F464" s="4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2"/>
      <c r="C465" s="3"/>
      <c r="D465" s="3"/>
      <c r="E465" s="3"/>
      <c r="F465" s="4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2"/>
      <c r="C466" s="3"/>
      <c r="D466" s="3"/>
      <c r="E466" s="3"/>
      <c r="F466" s="4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2"/>
      <c r="C467" s="3"/>
      <c r="D467" s="3"/>
      <c r="E467" s="3"/>
      <c r="F467" s="4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2"/>
      <c r="C468" s="3"/>
      <c r="D468" s="3"/>
      <c r="E468" s="3"/>
      <c r="F468" s="4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2"/>
      <c r="C469" s="3"/>
      <c r="D469" s="3"/>
      <c r="E469" s="3"/>
      <c r="F469" s="4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2"/>
      <c r="C470" s="3"/>
      <c r="D470" s="3"/>
      <c r="E470" s="3"/>
      <c r="F470" s="4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2"/>
      <c r="C471" s="3"/>
      <c r="D471" s="3"/>
      <c r="E471" s="3"/>
      <c r="F471" s="4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2"/>
      <c r="C472" s="3"/>
      <c r="D472" s="3"/>
      <c r="E472" s="3"/>
      <c r="F472" s="4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2"/>
      <c r="C473" s="3"/>
      <c r="D473" s="3"/>
      <c r="E473" s="3"/>
      <c r="F473" s="4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2"/>
      <c r="C474" s="3"/>
      <c r="D474" s="3"/>
      <c r="E474" s="3"/>
      <c r="F474" s="4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2"/>
      <c r="C475" s="3"/>
      <c r="D475" s="3"/>
      <c r="E475" s="3"/>
      <c r="F475" s="4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2"/>
      <c r="C476" s="3"/>
      <c r="D476" s="3"/>
      <c r="E476" s="3"/>
      <c r="F476" s="4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2"/>
      <c r="C477" s="3"/>
      <c r="D477" s="3"/>
      <c r="E477" s="3"/>
      <c r="F477" s="4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2"/>
      <c r="C478" s="3"/>
      <c r="D478" s="3"/>
      <c r="E478" s="3"/>
      <c r="F478" s="4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2"/>
      <c r="C479" s="3"/>
      <c r="D479" s="3"/>
      <c r="E479" s="3"/>
      <c r="F479" s="4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2"/>
      <c r="C480" s="3"/>
      <c r="D480" s="3"/>
      <c r="E480" s="3"/>
      <c r="F480" s="4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2"/>
      <c r="C481" s="3"/>
      <c r="D481" s="3"/>
      <c r="E481" s="3"/>
      <c r="F481" s="4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2"/>
      <c r="C482" s="3"/>
      <c r="D482" s="3"/>
      <c r="E482" s="3"/>
      <c r="F482" s="4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2"/>
      <c r="C483" s="3"/>
      <c r="D483" s="3"/>
      <c r="E483" s="3"/>
      <c r="F483" s="4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2"/>
      <c r="C484" s="3"/>
      <c r="D484" s="3"/>
      <c r="E484" s="3"/>
      <c r="F484" s="4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2"/>
      <c r="C485" s="3"/>
      <c r="D485" s="3"/>
      <c r="E485" s="3"/>
      <c r="F485" s="4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2"/>
      <c r="C486" s="3"/>
      <c r="D486" s="3"/>
      <c r="E486" s="3"/>
      <c r="F486" s="4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2"/>
      <c r="C487" s="3"/>
      <c r="D487" s="3"/>
      <c r="E487" s="3"/>
      <c r="F487" s="4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2"/>
      <c r="C488" s="3"/>
      <c r="D488" s="3"/>
      <c r="E488" s="3"/>
      <c r="F488" s="4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2"/>
      <c r="C489" s="3"/>
      <c r="D489" s="3"/>
      <c r="E489" s="3"/>
      <c r="F489" s="4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2"/>
      <c r="C490" s="3"/>
      <c r="D490" s="3"/>
      <c r="E490" s="3"/>
      <c r="F490" s="4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2"/>
      <c r="C491" s="3"/>
      <c r="D491" s="3"/>
      <c r="E491" s="3"/>
      <c r="F491" s="4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2"/>
      <c r="C492" s="3"/>
      <c r="D492" s="3"/>
      <c r="E492" s="3"/>
      <c r="F492" s="4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2"/>
      <c r="C493" s="3"/>
      <c r="D493" s="3"/>
      <c r="E493" s="3"/>
      <c r="F493" s="4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2"/>
      <c r="C494" s="3"/>
      <c r="D494" s="3"/>
      <c r="E494" s="3"/>
      <c r="F494" s="4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2"/>
      <c r="C495" s="3"/>
      <c r="D495" s="3"/>
      <c r="E495" s="3"/>
      <c r="F495" s="4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2"/>
      <c r="C496" s="3"/>
      <c r="D496" s="3"/>
      <c r="E496" s="3"/>
      <c r="F496" s="4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2"/>
      <c r="C497" s="3"/>
      <c r="D497" s="3"/>
      <c r="E497" s="3"/>
      <c r="F497" s="4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2"/>
      <c r="C498" s="3"/>
      <c r="D498" s="3"/>
      <c r="E498" s="3"/>
      <c r="F498" s="4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2"/>
      <c r="C499" s="3"/>
      <c r="D499" s="3"/>
      <c r="E499" s="3"/>
      <c r="F499" s="4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2"/>
      <c r="C500" s="3"/>
      <c r="D500" s="3"/>
      <c r="E500" s="3"/>
      <c r="F500" s="4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2"/>
      <c r="C501" s="3"/>
      <c r="D501" s="3"/>
      <c r="E501" s="3"/>
      <c r="F501" s="4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2"/>
      <c r="C502" s="3"/>
      <c r="D502" s="3"/>
      <c r="E502" s="3"/>
      <c r="F502" s="4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2"/>
      <c r="C503" s="3"/>
      <c r="D503" s="3"/>
      <c r="E503" s="3"/>
      <c r="F503" s="4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2"/>
      <c r="C504" s="3"/>
      <c r="D504" s="3"/>
      <c r="E504" s="3"/>
      <c r="F504" s="4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2"/>
      <c r="C505" s="3"/>
      <c r="D505" s="3"/>
      <c r="E505" s="3"/>
      <c r="F505" s="4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2"/>
      <c r="C506" s="3"/>
      <c r="D506" s="3"/>
      <c r="E506" s="3"/>
      <c r="F506" s="4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2"/>
      <c r="C507" s="3"/>
      <c r="D507" s="3"/>
      <c r="E507" s="3"/>
      <c r="F507" s="4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2"/>
      <c r="C508" s="3"/>
      <c r="D508" s="3"/>
      <c r="E508" s="3"/>
      <c r="F508" s="4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2"/>
      <c r="C509" s="3"/>
      <c r="D509" s="3"/>
      <c r="E509" s="3"/>
      <c r="F509" s="4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2"/>
      <c r="C510" s="3"/>
      <c r="D510" s="3"/>
      <c r="E510" s="3"/>
      <c r="F510" s="4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2"/>
      <c r="C511" s="3"/>
      <c r="D511" s="3"/>
      <c r="E511" s="3"/>
      <c r="F511" s="4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2"/>
      <c r="C512" s="3"/>
      <c r="D512" s="3"/>
      <c r="E512" s="3"/>
      <c r="F512" s="4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2"/>
      <c r="C513" s="3"/>
      <c r="D513" s="3"/>
      <c r="E513" s="3"/>
      <c r="F513" s="4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2"/>
      <c r="C514" s="3"/>
      <c r="D514" s="3"/>
      <c r="E514" s="3"/>
      <c r="F514" s="4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2"/>
      <c r="C515" s="3"/>
      <c r="D515" s="3"/>
      <c r="E515" s="3"/>
      <c r="F515" s="4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2"/>
      <c r="C516" s="3"/>
      <c r="D516" s="3"/>
      <c r="E516" s="3"/>
      <c r="F516" s="4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2"/>
      <c r="C517" s="3"/>
      <c r="D517" s="3"/>
      <c r="E517" s="3"/>
      <c r="F517" s="4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2"/>
      <c r="C518" s="3"/>
      <c r="D518" s="3"/>
      <c r="E518" s="3"/>
      <c r="F518" s="4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2"/>
      <c r="C519" s="3"/>
      <c r="D519" s="3"/>
      <c r="E519" s="3"/>
      <c r="F519" s="4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2"/>
      <c r="C520" s="3"/>
      <c r="D520" s="3"/>
      <c r="E520" s="3"/>
      <c r="F520" s="4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2"/>
      <c r="C521" s="3"/>
      <c r="D521" s="3"/>
      <c r="E521" s="3"/>
      <c r="F521" s="4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2"/>
      <c r="C522" s="3"/>
      <c r="D522" s="3"/>
      <c r="E522" s="3"/>
      <c r="F522" s="4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2"/>
      <c r="C523" s="3"/>
      <c r="D523" s="3"/>
      <c r="E523" s="3"/>
      <c r="F523" s="4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2"/>
      <c r="C524" s="3"/>
      <c r="D524" s="3"/>
      <c r="E524" s="3"/>
      <c r="F524" s="4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2"/>
      <c r="C525" s="3"/>
      <c r="D525" s="3"/>
      <c r="E525" s="3"/>
      <c r="F525" s="4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2"/>
      <c r="C526" s="3"/>
      <c r="D526" s="3"/>
      <c r="E526" s="3"/>
      <c r="F526" s="4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2"/>
      <c r="C527" s="3"/>
      <c r="D527" s="3"/>
      <c r="E527" s="3"/>
      <c r="F527" s="4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2"/>
      <c r="C528" s="3"/>
      <c r="D528" s="3"/>
      <c r="E528" s="3"/>
      <c r="F528" s="4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2"/>
      <c r="C529" s="3"/>
      <c r="D529" s="3"/>
      <c r="E529" s="3"/>
      <c r="F529" s="4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2"/>
      <c r="C530" s="3"/>
      <c r="D530" s="3"/>
      <c r="E530" s="3"/>
      <c r="F530" s="4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2"/>
      <c r="C531" s="3"/>
      <c r="D531" s="3"/>
      <c r="E531" s="3"/>
      <c r="F531" s="4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2"/>
      <c r="C532" s="3"/>
      <c r="D532" s="3"/>
      <c r="E532" s="3"/>
      <c r="F532" s="4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2"/>
      <c r="C533" s="3"/>
      <c r="D533" s="3"/>
      <c r="E533" s="3"/>
      <c r="F533" s="4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2"/>
      <c r="C534" s="3"/>
      <c r="D534" s="3"/>
      <c r="E534" s="3"/>
      <c r="F534" s="4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2"/>
      <c r="C535" s="3"/>
      <c r="D535" s="3"/>
      <c r="E535" s="3"/>
      <c r="F535" s="4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2"/>
      <c r="C536" s="3"/>
      <c r="D536" s="3"/>
      <c r="E536" s="3"/>
      <c r="F536" s="4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2"/>
      <c r="C537" s="3"/>
      <c r="D537" s="3"/>
      <c r="E537" s="3"/>
      <c r="F537" s="4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2"/>
      <c r="C538" s="3"/>
      <c r="D538" s="3"/>
      <c r="E538" s="3"/>
      <c r="F538" s="4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2"/>
      <c r="C539" s="3"/>
      <c r="D539" s="3"/>
      <c r="E539" s="3"/>
      <c r="F539" s="4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2"/>
      <c r="C540" s="3"/>
      <c r="D540" s="3"/>
      <c r="E540" s="3"/>
      <c r="F540" s="4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2"/>
      <c r="C541" s="3"/>
      <c r="D541" s="3"/>
      <c r="E541" s="3"/>
      <c r="F541" s="4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2"/>
      <c r="C542" s="3"/>
      <c r="D542" s="3"/>
      <c r="E542" s="3"/>
      <c r="F542" s="4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2"/>
      <c r="C543" s="3"/>
      <c r="D543" s="3"/>
      <c r="E543" s="3"/>
      <c r="F543" s="4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2"/>
      <c r="C544" s="3"/>
      <c r="D544" s="3"/>
      <c r="E544" s="3"/>
      <c r="F544" s="4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2"/>
      <c r="C545" s="3"/>
      <c r="D545" s="3"/>
      <c r="E545" s="3"/>
      <c r="F545" s="4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2"/>
      <c r="C546" s="3"/>
      <c r="D546" s="3"/>
      <c r="E546" s="3"/>
      <c r="F546" s="4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2"/>
      <c r="C547" s="3"/>
      <c r="D547" s="3"/>
      <c r="E547" s="3"/>
      <c r="F547" s="4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2"/>
      <c r="C548" s="3"/>
      <c r="D548" s="3"/>
      <c r="E548" s="3"/>
      <c r="F548" s="4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2"/>
      <c r="C549" s="3"/>
      <c r="D549" s="3"/>
      <c r="E549" s="3"/>
      <c r="F549" s="4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2"/>
      <c r="C550" s="3"/>
      <c r="D550" s="3"/>
      <c r="E550" s="3"/>
      <c r="F550" s="4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2"/>
      <c r="C551" s="3"/>
      <c r="D551" s="3"/>
      <c r="E551" s="3"/>
      <c r="F551" s="4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2"/>
      <c r="C552" s="3"/>
      <c r="D552" s="3"/>
      <c r="E552" s="3"/>
      <c r="F552" s="4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2"/>
      <c r="C553" s="3"/>
      <c r="D553" s="3"/>
      <c r="E553" s="3"/>
      <c r="F553" s="4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2"/>
      <c r="C554" s="3"/>
      <c r="D554" s="3"/>
      <c r="E554" s="3"/>
      <c r="F554" s="4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2"/>
      <c r="C555" s="3"/>
      <c r="D555" s="3"/>
      <c r="E555" s="3"/>
      <c r="F555" s="4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2"/>
      <c r="C556" s="3"/>
      <c r="D556" s="3"/>
      <c r="E556" s="3"/>
      <c r="F556" s="4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2"/>
      <c r="C557" s="3"/>
      <c r="D557" s="3"/>
      <c r="E557" s="3"/>
      <c r="F557" s="4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2"/>
      <c r="C558" s="3"/>
      <c r="D558" s="3"/>
      <c r="E558" s="3"/>
      <c r="F558" s="4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2"/>
      <c r="C559" s="3"/>
      <c r="D559" s="3"/>
      <c r="E559" s="3"/>
      <c r="F559" s="4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2"/>
      <c r="C560" s="3"/>
      <c r="D560" s="3"/>
      <c r="E560" s="3"/>
      <c r="F560" s="4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2"/>
      <c r="C561" s="3"/>
      <c r="D561" s="3"/>
      <c r="E561" s="3"/>
      <c r="F561" s="4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2"/>
      <c r="C562" s="3"/>
      <c r="D562" s="3"/>
      <c r="E562" s="3"/>
      <c r="F562" s="4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2"/>
      <c r="C563" s="3"/>
      <c r="D563" s="3"/>
      <c r="E563" s="3"/>
      <c r="F563" s="4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2"/>
      <c r="C564" s="3"/>
      <c r="D564" s="3"/>
      <c r="E564" s="3"/>
      <c r="F564" s="4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2"/>
      <c r="C565" s="3"/>
      <c r="D565" s="3"/>
      <c r="E565" s="3"/>
      <c r="F565" s="4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2"/>
      <c r="C566" s="3"/>
      <c r="D566" s="3"/>
      <c r="E566" s="3"/>
      <c r="F566" s="4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2"/>
      <c r="C567" s="3"/>
      <c r="D567" s="3"/>
      <c r="E567" s="3"/>
      <c r="F567" s="4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2"/>
      <c r="C568" s="3"/>
      <c r="D568" s="3"/>
      <c r="E568" s="3"/>
      <c r="F568" s="4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2"/>
      <c r="C569" s="3"/>
      <c r="D569" s="3"/>
      <c r="E569" s="3"/>
      <c r="F569" s="4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2"/>
      <c r="C570" s="3"/>
      <c r="D570" s="3"/>
      <c r="E570" s="3"/>
      <c r="F570" s="4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2"/>
      <c r="C571" s="3"/>
      <c r="D571" s="3"/>
      <c r="E571" s="3"/>
      <c r="F571" s="4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2"/>
      <c r="C572" s="3"/>
      <c r="D572" s="3"/>
      <c r="E572" s="3"/>
      <c r="F572" s="4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2"/>
      <c r="C573" s="3"/>
      <c r="D573" s="3"/>
      <c r="E573" s="3"/>
      <c r="F573" s="4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2"/>
      <c r="C574" s="3"/>
      <c r="D574" s="3"/>
      <c r="E574" s="3"/>
      <c r="F574" s="4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2"/>
      <c r="C575" s="3"/>
      <c r="D575" s="3"/>
      <c r="E575" s="3"/>
      <c r="F575" s="4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2"/>
      <c r="C576" s="3"/>
      <c r="D576" s="3"/>
      <c r="E576" s="3"/>
      <c r="F576" s="4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2"/>
      <c r="C577" s="3"/>
      <c r="D577" s="3"/>
      <c r="E577" s="3"/>
      <c r="F577" s="4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2"/>
      <c r="C578" s="3"/>
      <c r="D578" s="3"/>
      <c r="E578" s="3"/>
      <c r="F578" s="4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2"/>
      <c r="C579" s="3"/>
      <c r="D579" s="3"/>
      <c r="E579" s="3"/>
      <c r="F579" s="4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2"/>
      <c r="C580" s="3"/>
      <c r="D580" s="3"/>
      <c r="E580" s="3"/>
      <c r="F580" s="4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2"/>
      <c r="C581" s="3"/>
      <c r="D581" s="3"/>
      <c r="E581" s="3"/>
      <c r="F581" s="4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2"/>
      <c r="C582" s="3"/>
      <c r="D582" s="3"/>
      <c r="E582" s="3"/>
      <c r="F582" s="4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2"/>
      <c r="C583" s="3"/>
      <c r="D583" s="3"/>
      <c r="E583" s="3"/>
      <c r="F583" s="4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2"/>
      <c r="C584" s="3"/>
      <c r="D584" s="3"/>
      <c r="E584" s="3"/>
      <c r="F584" s="4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2"/>
      <c r="C585" s="3"/>
      <c r="D585" s="3"/>
      <c r="E585" s="3"/>
      <c r="F585" s="4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2"/>
      <c r="C586" s="3"/>
      <c r="D586" s="3"/>
      <c r="E586" s="3"/>
      <c r="F586" s="4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2"/>
      <c r="C587" s="3"/>
      <c r="D587" s="3"/>
      <c r="E587" s="3"/>
      <c r="F587" s="4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2"/>
      <c r="C588" s="3"/>
      <c r="D588" s="3"/>
      <c r="E588" s="3"/>
      <c r="F588" s="4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2"/>
      <c r="C589" s="3"/>
      <c r="D589" s="3"/>
      <c r="E589" s="3"/>
      <c r="F589" s="4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2"/>
      <c r="C590" s="3"/>
      <c r="D590" s="3"/>
      <c r="E590" s="3"/>
      <c r="F590" s="4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2"/>
      <c r="C591" s="3"/>
      <c r="D591" s="3"/>
      <c r="E591" s="3"/>
      <c r="F591" s="4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2"/>
      <c r="C592" s="3"/>
      <c r="D592" s="3"/>
      <c r="E592" s="3"/>
      <c r="F592" s="4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2"/>
      <c r="C593" s="3"/>
      <c r="D593" s="3"/>
      <c r="E593" s="3"/>
      <c r="F593" s="4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2"/>
      <c r="C594" s="3"/>
      <c r="D594" s="3"/>
      <c r="E594" s="3"/>
      <c r="F594" s="4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2"/>
      <c r="C595" s="3"/>
      <c r="D595" s="3"/>
      <c r="E595" s="3"/>
      <c r="F595" s="4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2"/>
      <c r="C596" s="3"/>
      <c r="D596" s="3"/>
      <c r="E596" s="3"/>
      <c r="F596" s="4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2"/>
      <c r="C597" s="3"/>
      <c r="D597" s="3"/>
      <c r="E597" s="3"/>
      <c r="F597" s="4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2"/>
      <c r="C598" s="3"/>
      <c r="D598" s="3"/>
      <c r="E598" s="3"/>
      <c r="F598" s="4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2"/>
      <c r="C599" s="3"/>
      <c r="D599" s="3"/>
      <c r="E599" s="3"/>
      <c r="F599" s="4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2"/>
      <c r="C600" s="3"/>
      <c r="D600" s="3"/>
      <c r="E600" s="3"/>
      <c r="F600" s="4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2"/>
      <c r="C601" s="3"/>
      <c r="D601" s="3"/>
      <c r="E601" s="3"/>
      <c r="F601" s="4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2"/>
      <c r="C602" s="3"/>
      <c r="D602" s="3"/>
      <c r="E602" s="3"/>
      <c r="F602" s="4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2"/>
      <c r="C603" s="3"/>
      <c r="D603" s="3"/>
      <c r="E603" s="3"/>
      <c r="F603" s="4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2"/>
      <c r="C604" s="3"/>
      <c r="D604" s="3"/>
      <c r="E604" s="3"/>
      <c r="F604" s="4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2"/>
      <c r="C605" s="3"/>
      <c r="D605" s="3"/>
      <c r="E605" s="3"/>
      <c r="F605" s="4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2"/>
      <c r="C606" s="3"/>
      <c r="D606" s="3"/>
      <c r="E606" s="3"/>
      <c r="F606" s="4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2"/>
      <c r="C607" s="3"/>
      <c r="D607" s="3"/>
      <c r="E607" s="3"/>
      <c r="F607" s="4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2"/>
      <c r="C608" s="3"/>
      <c r="D608" s="3"/>
      <c r="E608" s="3"/>
      <c r="F608" s="4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2"/>
      <c r="C609" s="3"/>
      <c r="D609" s="3"/>
      <c r="E609" s="3"/>
      <c r="F609" s="4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2"/>
      <c r="C610" s="3"/>
      <c r="D610" s="3"/>
      <c r="E610" s="3"/>
      <c r="F610" s="4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2"/>
      <c r="C611" s="3"/>
      <c r="D611" s="3"/>
      <c r="E611" s="3"/>
      <c r="F611" s="4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2"/>
      <c r="C612" s="3"/>
      <c r="D612" s="3"/>
      <c r="E612" s="3"/>
      <c r="F612" s="4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2"/>
      <c r="C613" s="3"/>
      <c r="D613" s="3"/>
      <c r="E613" s="3"/>
      <c r="F613" s="4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2"/>
      <c r="C614" s="3"/>
      <c r="D614" s="3"/>
      <c r="E614" s="3"/>
      <c r="F614" s="4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2"/>
      <c r="C615" s="3"/>
      <c r="D615" s="3"/>
      <c r="E615" s="3"/>
      <c r="F615" s="4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2"/>
      <c r="C616" s="3"/>
      <c r="D616" s="3"/>
      <c r="E616" s="3"/>
      <c r="F616" s="4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2"/>
      <c r="C617" s="3"/>
      <c r="D617" s="3"/>
      <c r="E617" s="3"/>
      <c r="F617" s="4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2"/>
      <c r="C618" s="3"/>
      <c r="D618" s="3"/>
      <c r="E618" s="3"/>
      <c r="F618" s="4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2"/>
      <c r="C619" s="3"/>
      <c r="D619" s="3"/>
      <c r="E619" s="3"/>
      <c r="F619" s="4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2"/>
      <c r="C620" s="3"/>
      <c r="D620" s="3"/>
      <c r="E620" s="3"/>
      <c r="F620" s="4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2"/>
      <c r="C621" s="3"/>
      <c r="D621" s="3"/>
      <c r="E621" s="3"/>
      <c r="F621" s="4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2"/>
      <c r="C622" s="3"/>
      <c r="D622" s="3"/>
      <c r="E622" s="3"/>
      <c r="F622" s="4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2"/>
      <c r="C623" s="3"/>
      <c r="D623" s="3"/>
      <c r="E623" s="3"/>
      <c r="F623" s="4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2"/>
      <c r="C624" s="3"/>
      <c r="D624" s="3"/>
      <c r="E624" s="3"/>
      <c r="F624" s="4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2"/>
      <c r="C625" s="3"/>
      <c r="D625" s="3"/>
      <c r="E625" s="3"/>
      <c r="F625" s="4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2"/>
      <c r="C626" s="3"/>
      <c r="D626" s="3"/>
      <c r="E626" s="3"/>
      <c r="F626" s="4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2"/>
      <c r="C627" s="3"/>
      <c r="D627" s="3"/>
      <c r="E627" s="3"/>
      <c r="F627" s="4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2"/>
      <c r="C628" s="3"/>
      <c r="D628" s="3"/>
      <c r="E628" s="3"/>
      <c r="F628" s="4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2"/>
      <c r="C629" s="3"/>
      <c r="D629" s="3"/>
      <c r="E629" s="3"/>
      <c r="F629" s="4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2"/>
      <c r="C630" s="3"/>
      <c r="D630" s="3"/>
      <c r="E630" s="3"/>
      <c r="F630" s="4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2"/>
      <c r="C631" s="3"/>
      <c r="D631" s="3"/>
      <c r="E631" s="3"/>
      <c r="F631" s="4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2"/>
      <c r="C632" s="3"/>
      <c r="D632" s="3"/>
      <c r="E632" s="3"/>
      <c r="F632" s="4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2"/>
      <c r="C633" s="3"/>
      <c r="D633" s="3"/>
      <c r="E633" s="3"/>
      <c r="F633" s="4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2"/>
      <c r="C634" s="3"/>
      <c r="D634" s="3"/>
      <c r="E634" s="3"/>
      <c r="F634" s="4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2"/>
      <c r="C635" s="3"/>
      <c r="D635" s="3"/>
      <c r="E635" s="3"/>
      <c r="F635" s="4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2"/>
      <c r="C636" s="3"/>
      <c r="D636" s="3"/>
      <c r="E636" s="3"/>
      <c r="F636" s="4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2"/>
      <c r="C637" s="3"/>
      <c r="D637" s="3"/>
      <c r="E637" s="3"/>
      <c r="F637" s="4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2"/>
      <c r="C638" s="3"/>
      <c r="D638" s="3"/>
      <c r="E638" s="3"/>
      <c r="F638" s="4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2"/>
      <c r="C639" s="3"/>
      <c r="D639" s="3"/>
      <c r="E639" s="3"/>
      <c r="F639" s="4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2"/>
      <c r="C640" s="3"/>
      <c r="D640" s="3"/>
      <c r="E640" s="3"/>
      <c r="F640" s="4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2"/>
      <c r="C641" s="3"/>
      <c r="D641" s="3"/>
      <c r="E641" s="3"/>
      <c r="F641" s="4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2"/>
      <c r="C642" s="3"/>
      <c r="D642" s="3"/>
      <c r="E642" s="3"/>
      <c r="F642" s="4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2"/>
      <c r="C643" s="3"/>
      <c r="D643" s="3"/>
      <c r="E643" s="3"/>
      <c r="F643" s="4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2"/>
      <c r="C644" s="3"/>
      <c r="D644" s="3"/>
      <c r="E644" s="3"/>
      <c r="F644" s="4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2"/>
      <c r="C645" s="3"/>
      <c r="D645" s="3"/>
      <c r="E645" s="3"/>
      <c r="F645" s="4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2"/>
      <c r="C646" s="3"/>
      <c r="D646" s="3"/>
      <c r="E646" s="3"/>
      <c r="F646" s="4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2"/>
      <c r="C647" s="3"/>
      <c r="D647" s="3"/>
      <c r="E647" s="3"/>
      <c r="F647" s="4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2"/>
      <c r="C648" s="3"/>
      <c r="D648" s="3"/>
      <c r="E648" s="3"/>
      <c r="F648" s="4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2"/>
      <c r="C649" s="3"/>
      <c r="D649" s="3"/>
      <c r="E649" s="3"/>
      <c r="F649" s="4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2"/>
      <c r="C650" s="3"/>
      <c r="D650" s="3"/>
      <c r="E650" s="3"/>
      <c r="F650" s="4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2"/>
      <c r="C651" s="3"/>
      <c r="D651" s="3"/>
      <c r="E651" s="3"/>
      <c r="F651" s="4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2"/>
      <c r="C652" s="3"/>
      <c r="D652" s="3"/>
      <c r="E652" s="3"/>
      <c r="F652" s="4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2"/>
      <c r="C653" s="3"/>
      <c r="D653" s="3"/>
      <c r="E653" s="3"/>
      <c r="F653" s="4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2"/>
      <c r="C654" s="3"/>
      <c r="D654" s="3"/>
      <c r="E654" s="3"/>
      <c r="F654" s="4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2"/>
      <c r="C655" s="3"/>
      <c r="D655" s="3"/>
      <c r="E655" s="3"/>
      <c r="F655" s="4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2"/>
      <c r="C656" s="3"/>
      <c r="D656" s="3"/>
      <c r="E656" s="3"/>
      <c r="F656" s="4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2"/>
      <c r="C657" s="3"/>
      <c r="D657" s="3"/>
      <c r="E657" s="3"/>
      <c r="F657" s="4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2"/>
      <c r="C658" s="3"/>
      <c r="D658" s="3"/>
      <c r="E658" s="3"/>
      <c r="F658" s="4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2"/>
      <c r="C659" s="3"/>
      <c r="D659" s="3"/>
      <c r="E659" s="3"/>
      <c r="F659" s="4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2"/>
      <c r="C660" s="3"/>
      <c r="D660" s="3"/>
      <c r="E660" s="3"/>
      <c r="F660" s="4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2"/>
      <c r="C661" s="3"/>
      <c r="D661" s="3"/>
      <c r="E661" s="3"/>
      <c r="F661" s="4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2"/>
      <c r="C662" s="3"/>
      <c r="D662" s="3"/>
      <c r="E662" s="3"/>
      <c r="F662" s="4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2"/>
      <c r="C663" s="3"/>
      <c r="D663" s="3"/>
      <c r="E663" s="3"/>
      <c r="F663" s="4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2"/>
      <c r="C664" s="3"/>
      <c r="D664" s="3"/>
      <c r="E664" s="3"/>
      <c r="F664" s="4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2"/>
      <c r="C665" s="3"/>
      <c r="D665" s="3"/>
      <c r="E665" s="3"/>
      <c r="F665" s="4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2"/>
      <c r="C666" s="3"/>
      <c r="D666" s="3"/>
      <c r="E666" s="3"/>
      <c r="F666" s="4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2"/>
      <c r="C667" s="3"/>
      <c r="D667" s="3"/>
      <c r="E667" s="3"/>
      <c r="F667" s="4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2"/>
      <c r="C668" s="3"/>
      <c r="D668" s="3"/>
      <c r="E668" s="3"/>
      <c r="F668" s="4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2"/>
      <c r="C669" s="3"/>
      <c r="D669" s="3"/>
      <c r="E669" s="3"/>
      <c r="F669" s="4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2"/>
      <c r="C670" s="3"/>
      <c r="D670" s="3"/>
      <c r="E670" s="3"/>
      <c r="F670" s="4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2"/>
      <c r="C671" s="3"/>
      <c r="D671" s="3"/>
      <c r="E671" s="3"/>
      <c r="F671" s="4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2"/>
      <c r="C672" s="3"/>
      <c r="D672" s="3"/>
      <c r="E672" s="3"/>
      <c r="F672" s="4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2"/>
      <c r="C673" s="3"/>
      <c r="D673" s="3"/>
      <c r="E673" s="3"/>
      <c r="F673" s="4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2"/>
      <c r="C674" s="3"/>
      <c r="D674" s="3"/>
      <c r="E674" s="3"/>
      <c r="F674" s="4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2"/>
      <c r="C675" s="3"/>
      <c r="D675" s="3"/>
      <c r="E675" s="3"/>
      <c r="F675" s="4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2"/>
      <c r="C676" s="3"/>
      <c r="D676" s="3"/>
      <c r="E676" s="3"/>
      <c r="F676" s="4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2"/>
      <c r="C677" s="3"/>
      <c r="D677" s="3"/>
      <c r="E677" s="3"/>
      <c r="F677" s="4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2"/>
      <c r="C678" s="3"/>
      <c r="D678" s="3"/>
      <c r="E678" s="3"/>
      <c r="F678" s="4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2"/>
      <c r="C679" s="3"/>
      <c r="D679" s="3"/>
      <c r="E679" s="3"/>
      <c r="F679" s="4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2"/>
      <c r="C680" s="3"/>
      <c r="D680" s="3"/>
      <c r="E680" s="3"/>
      <c r="F680" s="4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2"/>
      <c r="C681" s="3"/>
      <c r="D681" s="3"/>
      <c r="E681" s="3"/>
      <c r="F681" s="4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2"/>
      <c r="C682" s="3"/>
      <c r="D682" s="3"/>
      <c r="E682" s="3"/>
      <c r="F682" s="4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2"/>
      <c r="C683" s="3"/>
      <c r="D683" s="3"/>
      <c r="E683" s="3"/>
      <c r="F683" s="4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2"/>
      <c r="C684" s="3"/>
      <c r="D684" s="3"/>
      <c r="E684" s="3"/>
      <c r="F684" s="4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2"/>
      <c r="C685" s="3"/>
      <c r="D685" s="3"/>
      <c r="E685" s="3"/>
      <c r="F685" s="4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2"/>
      <c r="C686" s="3"/>
      <c r="D686" s="3"/>
      <c r="E686" s="3"/>
      <c r="F686" s="4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2"/>
      <c r="C687" s="3"/>
      <c r="D687" s="3"/>
      <c r="E687" s="3"/>
      <c r="F687" s="4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2"/>
      <c r="C688" s="3"/>
      <c r="D688" s="3"/>
      <c r="E688" s="3"/>
      <c r="F688" s="4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2"/>
      <c r="C689" s="3"/>
      <c r="D689" s="3"/>
      <c r="E689" s="3"/>
      <c r="F689" s="4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2"/>
      <c r="C690" s="3"/>
      <c r="D690" s="3"/>
      <c r="E690" s="3"/>
      <c r="F690" s="4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2"/>
      <c r="C691" s="3"/>
      <c r="D691" s="3"/>
      <c r="E691" s="3"/>
      <c r="F691" s="4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2"/>
      <c r="C692" s="3"/>
      <c r="D692" s="3"/>
      <c r="E692" s="3"/>
      <c r="F692" s="4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2"/>
      <c r="C693" s="3"/>
      <c r="D693" s="3"/>
      <c r="E693" s="3"/>
      <c r="F693" s="4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2"/>
      <c r="C694" s="3"/>
      <c r="D694" s="3"/>
      <c r="E694" s="3"/>
      <c r="F694" s="4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2"/>
      <c r="C695" s="3"/>
      <c r="D695" s="3"/>
      <c r="E695" s="3"/>
      <c r="F695" s="4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2"/>
      <c r="C696" s="3"/>
      <c r="D696" s="3"/>
      <c r="E696" s="3"/>
      <c r="F696" s="4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2"/>
      <c r="C697" s="3"/>
      <c r="D697" s="3"/>
      <c r="E697" s="3"/>
      <c r="F697" s="4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2"/>
      <c r="C698" s="3"/>
      <c r="D698" s="3"/>
      <c r="E698" s="3"/>
      <c r="F698" s="4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2"/>
      <c r="C699" s="3"/>
      <c r="D699" s="3"/>
      <c r="E699" s="3"/>
      <c r="F699" s="4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2"/>
      <c r="C700" s="3"/>
      <c r="D700" s="3"/>
      <c r="E700" s="3"/>
      <c r="F700" s="4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2"/>
      <c r="C701" s="3"/>
      <c r="D701" s="3"/>
      <c r="E701" s="3"/>
      <c r="F701" s="4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2"/>
      <c r="C702" s="3"/>
      <c r="D702" s="3"/>
      <c r="E702" s="3"/>
      <c r="F702" s="4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2"/>
      <c r="C703" s="3"/>
      <c r="D703" s="3"/>
      <c r="E703" s="3"/>
      <c r="F703" s="4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2"/>
      <c r="C704" s="3"/>
      <c r="D704" s="3"/>
      <c r="E704" s="3"/>
      <c r="F704" s="4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2"/>
      <c r="C705" s="3"/>
      <c r="D705" s="3"/>
      <c r="E705" s="3"/>
      <c r="F705" s="4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2"/>
      <c r="C706" s="3"/>
      <c r="D706" s="3"/>
      <c r="E706" s="3"/>
      <c r="F706" s="4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2"/>
      <c r="C707" s="3"/>
      <c r="D707" s="3"/>
      <c r="E707" s="3"/>
      <c r="F707" s="4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2"/>
      <c r="C708" s="3"/>
      <c r="D708" s="3"/>
      <c r="E708" s="3"/>
      <c r="F708" s="4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2"/>
      <c r="C709" s="3"/>
      <c r="D709" s="3"/>
      <c r="E709" s="3"/>
      <c r="F709" s="4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2"/>
      <c r="C710" s="3"/>
      <c r="D710" s="3"/>
      <c r="E710" s="3"/>
      <c r="F710" s="4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2"/>
      <c r="C711" s="3"/>
      <c r="D711" s="3"/>
      <c r="E711" s="3"/>
      <c r="F711" s="4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2"/>
      <c r="C712" s="3"/>
      <c r="D712" s="3"/>
      <c r="E712" s="3"/>
      <c r="F712" s="4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2"/>
      <c r="C713" s="3"/>
      <c r="D713" s="3"/>
      <c r="E713" s="3"/>
      <c r="F713" s="4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2"/>
      <c r="C714" s="3"/>
      <c r="D714" s="3"/>
      <c r="E714" s="3"/>
      <c r="F714" s="4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2"/>
      <c r="C715" s="3"/>
      <c r="D715" s="3"/>
      <c r="E715" s="3"/>
      <c r="F715" s="4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2"/>
      <c r="C716" s="3"/>
      <c r="D716" s="3"/>
      <c r="E716" s="3"/>
      <c r="F716" s="4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2"/>
      <c r="C717" s="3"/>
      <c r="D717" s="3"/>
      <c r="E717" s="3"/>
      <c r="F717" s="4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2"/>
      <c r="C718" s="3"/>
      <c r="D718" s="3"/>
      <c r="E718" s="3"/>
      <c r="F718" s="4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2"/>
      <c r="C719" s="3"/>
      <c r="D719" s="3"/>
      <c r="E719" s="3"/>
      <c r="F719" s="4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2"/>
      <c r="C720" s="3"/>
      <c r="D720" s="3"/>
      <c r="E720" s="3"/>
      <c r="F720" s="4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2"/>
      <c r="C721" s="3"/>
      <c r="D721" s="3"/>
      <c r="E721" s="3"/>
      <c r="F721" s="4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2"/>
      <c r="C722" s="3"/>
      <c r="D722" s="3"/>
      <c r="E722" s="3"/>
      <c r="F722" s="4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2"/>
      <c r="C723" s="3"/>
      <c r="D723" s="3"/>
      <c r="E723" s="3"/>
      <c r="F723" s="4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2"/>
      <c r="C724" s="3"/>
      <c r="D724" s="3"/>
      <c r="E724" s="3"/>
      <c r="F724" s="4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2"/>
      <c r="C725" s="3"/>
      <c r="D725" s="3"/>
      <c r="E725" s="3"/>
      <c r="F725" s="4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2"/>
      <c r="C726" s="3"/>
      <c r="D726" s="3"/>
      <c r="E726" s="3"/>
      <c r="F726" s="4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2"/>
      <c r="C727" s="3"/>
      <c r="D727" s="3"/>
      <c r="E727" s="3"/>
      <c r="F727" s="4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2"/>
      <c r="C728" s="3"/>
      <c r="D728" s="3"/>
      <c r="E728" s="3"/>
      <c r="F728" s="4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2"/>
      <c r="C729" s="3"/>
      <c r="D729" s="3"/>
      <c r="E729" s="3"/>
      <c r="F729" s="4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2"/>
      <c r="C730" s="3"/>
      <c r="D730" s="3"/>
      <c r="E730" s="3"/>
      <c r="F730" s="4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2"/>
      <c r="C731" s="3"/>
      <c r="D731" s="3"/>
      <c r="E731" s="3"/>
      <c r="F731" s="4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2"/>
      <c r="C732" s="3"/>
      <c r="D732" s="3"/>
      <c r="E732" s="3"/>
      <c r="F732" s="4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2"/>
      <c r="C733" s="3"/>
      <c r="D733" s="3"/>
      <c r="E733" s="3"/>
      <c r="F733" s="4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2"/>
      <c r="C734" s="3"/>
      <c r="D734" s="3"/>
      <c r="E734" s="3"/>
      <c r="F734" s="4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2"/>
      <c r="C735" s="3"/>
      <c r="D735" s="3"/>
      <c r="E735" s="3"/>
      <c r="F735" s="4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2"/>
      <c r="C736" s="3"/>
      <c r="D736" s="3"/>
      <c r="E736" s="3"/>
      <c r="F736" s="4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2"/>
      <c r="C737" s="3"/>
      <c r="D737" s="3"/>
      <c r="E737" s="3"/>
      <c r="F737" s="4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2"/>
      <c r="C738" s="3"/>
      <c r="D738" s="3"/>
      <c r="E738" s="3"/>
      <c r="F738" s="4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2"/>
      <c r="C739" s="3"/>
      <c r="D739" s="3"/>
      <c r="E739" s="3"/>
      <c r="F739" s="4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2"/>
      <c r="C740" s="3"/>
      <c r="D740" s="3"/>
      <c r="E740" s="3"/>
      <c r="F740" s="4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2"/>
      <c r="C741" s="3"/>
      <c r="D741" s="3"/>
      <c r="E741" s="3"/>
      <c r="F741" s="4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2"/>
      <c r="C742" s="3"/>
      <c r="D742" s="3"/>
      <c r="E742" s="3"/>
      <c r="F742" s="4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2"/>
      <c r="C743" s="3"/>
      <c r="D743" s="3"/>
      <c r="E743" s="3"/>
      <c r="F743" s="4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2"/>
      <c r="C744" s="3"/>
      <c r="D744" s="3"/>
      <c r="E744" s="3"/>
      <c r="F744" s="4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2"/>
      <c r="C745" s="3"/>
      <c r="D745" s="3"/>
      <c r="E745" s="3"/>
      <c r="F745" s="4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2"/>
      <c r="C746" s="3"/>
      <c r="D746" s="3"/>
      <c r="E746" s="3"/>
      <c r="F746" s="4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2"/>
      <c r="C747" s="3"/>
      <c r="D747" s="3"/>
      <c r="E747" s="3"/>
      <c r="F747" s="4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2"/>
      <c r="C748" s="3"/>
      <c r="D748" s="3"/>
      <c r="E748" s="3"/>
      <c r="F748" s="4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2"/>
      <c r="C749" s="3"/>
      <c r="D749" s="3"/>
      <c r="E749" s="3"/>
      <c r="F749" s="4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2"/>
      <c r="C750" s="3"/>
      <c r="D750" s="3"/>
      <c r="E750" s="3"/>
      <c r="F750" s="4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2"/>
      <c r="C751" s="3"/>
      <c r="D751" s="3"/>
      <c r="E751" s="3"/>
      <c r="F751" s="4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2"/>
      <c r="C752" s="3"/>
      <c r="D752" s="3"/>
      <c r="E752" s="3"/>
      <c r="F752" s="4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2"/>
      <c r="C753" s="3"/>
      <c r="D753" s="3"/>
      <c r="E753" s="3"/>
      <c r="F753" s="4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2"/>
      <c r="C754" s="3"/>
      <c r="D754" s="3"/>
      <c r="E754" s="3"/>
      <c r="F754" s="4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2"/>
      <c r="C755" s="3"/>
      <c r="D755" s="3"/>
      <c r="E755" s="3"/>
      <c r="F755" s="4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2"/>
      <c r="C756" s="3"/>
      <c r="D756" s="3"/>
      <c r="E756" s="3"/>
      <c r="F756" s="4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2"/>
      <c r="C757" s="3"/>
      <c r="D757" s="3"/>
      <c r="E757" s="3"/>
      <c r="F757" s="4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2"/>
      <c r="C758" s="3"/>
      <c r="D758" s="3"/>
      <c r="E758" s="3"/>
      <c r="F758" s="4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2"/>
      <c r="C759" s="3"/>
      <c r="D759" s="3"/>
      <c r="E759" s="3"/>
      <c r="F759" s="4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2"/>
      <c r="C760" s="3"/>
      <c r="D760" s="3"/>
      <c r="E760" s="3"/>
      <c r="F760" s="4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2"/>
      <c r="C761" s="3"/>
      <c r="D761" s="3"/>
      <c r="E761" s="3"/>
      <c r="F761" s="4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2"/>
      <c r="C762" s="3"/>
      <c r="D762" s="3"/>
      <c r="E762" s="3"/>
      <c r="F762" s="4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2"/>
      <c r="C763" s="3"/>
      <c r="D763" s="3"/>
      <c r="E763" s="3"/>
      <c r="F763" s="4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2"/>
      <c r="C764" s="3"/>
      <c r="D764" s="3"/>
      <c r="E764" s="3"/>
      <c r="F764" s="4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2"/>
      <c r="C765" s="3"/>
      <c r="D765" s="3"/>
      <c r="E765" s="3"/>
      <c r="F765" s="4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2"/>
      <c r="C766" s="3"/>
      <c r="D766" s="3"/>
      <c r="E766" s="3"/>
      <c r="F766" s="4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2"/>
      <c r="C767" s="3"/>
      <c r="D767" s="3"/>
      <c r="E767" s="3"/>
      <c r="F767" s="4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2"/>
      <c r="C768" s="3"/>
      <c r="D768" s="3"/>
      <c r="E768" s="3"/>
      <c r="F768" s="4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2"/>
      <c r="C769" s="3"/>
      <c r="D769" s="3"/>
      <c r="E769" s="3"/>
      <c r="F769" s="4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2"/>
      <c r="C770" s="3"/>
      <c r="D770" s="3"/>
      <c r="E770" s="3"/>
      <c r="F770" s="4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2"/>
      <c r="C771" s="3"/>
      <c r="D771" s="3"/>
      <c r="E771" s="3"/>
      <c r="F771" s="4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2"/>
      <c r="C772" s="3"/>
      <c r="D772" s="3"/>
      <c r="E772" s="3"/>
      <c r="F772" s="4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2"/>
      <c r="C773" s="3"/>
      <c r="D773" s="3"/>
      <c r="E773" s="3"/>
      <c r="F773" s="4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2"/>
      <c r="C774" s="3"/>
      <c r="D774" s="3"/>
      <c r="E774" s="3"/>
      <c r="F774" s="4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2"/>
      <c r="C775" s="3"/>
      <c r="D775" s="3"/>
      <c r="E775" s="3"/>
      <c r="F775" s="4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2"/>
      <c r="C776" s="3"/>
      <c r="D776" s="3"/>
      <c r="E776" s="3"/>
      <c r="F776" s="4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2"/>
      <c r="C777" s="3"/>
      <c r="D777" s="3"/>
      <c r="E777" s="3"/>
      <c r="F777" s="4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2"/>
      <c r="C778" s="3"/>
      <c r="D778" s="3"/>
      <c r="E778" s="3"/>
      <c r="F778" s="4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2"/>
      <c r="C779" s="3"/>
      <c r="D779" s="3"/>
      <c r="E779" s="3"/>
      <c r="F779" s="4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2"/>
      <c r="C780" s="3"/>
      <c r="D780" s="3"/>
      <c r="E780" s="3"/>
      <c r="F780" s="4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2"/>
      <c r="C781" s="3"/>
      <c r="D781" s="3"/>
      <c r="E781" s="3"/>
      <c r="F781" s="4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2"/>
      <c r="C782" s="3"/>
      <c r="D782" s="3"/>
      <c r="E782" s="3"/>
      <c r="F782" s="4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2"/>
      <c r="C783" s="3"/>
      <c r="D783" s="3"/>
      <c r="E783" s="3"/>
      <c r="F783" s="4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2"/>
      <c r="C784" s="3"/>
      <c r="D784" s="3"/>
      <c r="E784" s="3"/>
      <c r="F784" s="4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2"/>
      <c r="C785" s="3"/>
      <c r="D785" s="3"/>
      <c r="E785" s="3"/>
      <c r="F785" s="4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2"/>
      <c r="C786" s="3"/>
      <c r="D786" s="3"/>
      <c r="E786" s="3"/>
      <c r="F786" s="4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2"/>
      <c r="C787" s="3"/>
      <c r="D787" s="3"/>
      <c r="E787" s="3"/>
      <c r="F787" s="4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2"/>
      <c r="C788" s="3"/>
      <c r="D788" s="3"/>
      <c r="E788" s="3"/>
      <c r="F788" s="4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2"/>
      <c r="C789" s="3"/>
      <c r="D789" s="3"/>
      <c r="E789" s="3"/>
      <c r="F789" s="4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2"/>
      <c r="C790" s="3"/>
      <c r="D790" s="3"/>
      <c r="E790" s="3"/>
      <c r="F790" s="4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2"/>
      <c r="C791" s="3"/>
      <c r="D791" s="3"/>
      <c r="E791" s="3"/>
      <c r="F791" s="4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2"/>
      <c r="C792" s="3"/>
      <c r="D792" s="3"/>
      <c r="E792" s="3"/>
      <c r="F792" s="4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2"/>
      <c r="C793" s="3"/>
      <c r="D793" s="3"/>
      <c r="E793" s="3"/>
      <c r="F793" s="4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2"/>
      <c r="C794" s="3"/>
      <c r="D794" s="3"/>
      <c r="E794" s="3"/>
      <c r="F794" s="4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2"/>
      <c r="C795" s="3"/>
      <c r="D795" s="3"/>
      <c r="E795" s="3"/>
      <c r="F795" s="4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2"/>
      <c r="C796" s="3"/>
      <c r="D796" s="3"/>
      <c r="E796" s="3"/>
      <c r="F796" s="4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2"/>
      <c r="C797" s="3"/>
      <c r="D797" s="3"/>
      <c r="E797" s="3"/>
      <c r="F797" s="4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2"/>
      <c r="C798" s="3"/>
      <c r="D798" s="3"/>
      <c r="E798" s="3"/>
      <c r="F798" s="4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2"/>
      <c r="C799" s="3"/>
      <c r="D799" s="3"/>
      <c r="E799" s="3"/>
      <c r="F799" s="4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2"/>
      <c r="C800" s="3"/>
      <c r="D800" s="3"/>
      <c r="E800" s="3"/>
      <c r="F800" s="4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2"/>
      <c r="C801" s="3"/>
      <c r="D801" s="3"/>
      <c r="E801" s="3"/>
      <c r="F801" s="4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2"/>
      <c r="C802" s="3"/>
      <c r="D802" s="3"/>
      <c r="E802" s="3"/>
      <c r="F802" s="4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2"/>
      <c r="C803" s="3"/>
      <c r="D803" s="3"/>
      <c r="E803" s="3"/>
      <c r="F803" s="4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2"/>
      <c r="C804" s="3"/>
      <c r="D804" s="3"/>
      <c r="E804" s="3"/>
      <c r="F804" s="4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2"/>
      <c r="C805" s="3"/>
      <c r="D805" s="3"/>
      <c r="E805" s="3"/>
      <c r="F805" s="4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2"/>
      <c r="C806" s="3"/>
      <c r="D806" s="3"/>
      <c r="E806" s="3"/>
      <c r="F806" s="4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2"/>
      <c r="C807" s="3"/>
      <c r="D807" s="3"/>
      <c r="E807" s="3"/>
      <c r="F807" s="4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2"/>
      <c r="C808" s="3"/>
      <c r="D808" s="3"/>
      <c r="E808" s="3"/>
      <c r="F808" s="4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2"/>
      <c r="C809" s="3"/>
      <c r="D809" s="3"/>
      <c r="E809" s="3"/>
      <c r="F809" s="4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2"/>
      <c r="C810" s="3"/>
      <c r="D810" s="3"/>
      <c r="E810" s="3"/>
      <c r="F810" s="4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2"/>
      <c r="C811" s="3"/>
      <c r="D811" s="3"/>
      <c r="E811" s="3"/>
      <c r="F811" s="4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2"/>
      <c r="C812" s="3"/>
      <c r="D812" s="3"/>
      <c r="E812" s="3"/>
      <c r="F812" s="4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2"/>
      <c r="C813" s="3"/>
      <c r="D813" s="3"/>
      <c r="E813" s="3"/>
      <c r="F813" s="4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2"/>
      <c r="C814" s="3"/>
      <c r="D814" s="3"/>
      <c r="E814" s="3"/>
      <c r="F814" s="4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2"/>
      <c r="C815" s="3"/>
      <c r="D815" s="3"/>
      <c r="E815" s="3"/>
      <c r="F815" s="4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2"/>
      <c r="C816" s="3"/>
      <c r="D816" s="3"/>
      <c r="E816" s="3"/>
      <c r="F816" s="4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2"/>
      <c r="C817" s="3"/>
      <c r="D817" s="3"/>
      <c r="E817" s="3"/>
      <c r="F817" s="4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2"/>
      <c r="C818" s="3"/>
      <c r="D818" s="3"/>
      <c r="E818" s="3"/>
      <c r="F818" s="4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2"/>
      <c r="C819" s="3"/>
      <c r="D819" s="3"/>
      <c r="E819" s="3"/>
      <c r="F819" s="4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2"/>
      <c r="C820" s="3"/>
      <c r="D820" s="3"/>
      <c r="E820" s="3"/>
      <c r="F820" s="4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2"/>
      <c r="C821" s="3"/>
      <c r="D821" s="3"/>
      <c r="E821" s="3"/>
      <c r="F821" s="4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2"/>
      <c r="C822" s="3"/>
      <c r="D822" s="3"/>
      <c r="E822" s="3"/>
      <c r="F822" s="4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2"/>
      <c r="C823" s="3"/>
      <c r="D823" s="3"/>
      <c r="E823" s="3"/>
      <c r="F823" s="4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2"/>
      <c r="C824" s="3"/>
      <c r="D824" s="3"/>
      <c r="E824" s="3"/>
      <c r="F824" s="4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2"/>
      <c r="C825" s="3"/>
      <c r="D825" s="3"/>
      <c r="E825" s="3"/>
      <c r="F825" s="4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2"/>
      <c r="C826" s="3"/>
      <c r="D826" s="3"/>
      <c r="E826" s="3"/>
      <c r="F826" s="4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2"/>
      <c r="C827" s="3"/>
      <c r="D827" s="3"/>
      <c r="E827" s="3"/>
      <c r="F827" s="4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2"/>
      <c r="C828" s="3"/>
      <c r="D828" s="3"/>
      <c r="E828" s="3"/>
      <c r="F828" s="4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2"/>
      <c r="C829" s="3"/>
      <c r="D829" s="3"/>
      <c r="E829" s="3"/>
      <c r="F829" s="4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2"/>
      <c r="C830" s="3"/>
      <c r="D830" s="3"/>
      <c r="E830" s="3"/>
      <c r="F830" s="4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2"/>
      <c r="C831" s="3"/>
      <c r="D831" s="3"/>
      <c r="E831" s="3"/>
      <c r="F831" s="4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2"/>
      <c r="C832" s="3"/>
      <c r="D832" s="3"/>
      <c r="E832" s="3"/>
      <c r="F832" s="4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2"/>
      <c r="C833" s="3"/>
      <c r="D833" s="3"/>
      <c r="E833" s="3"/>
      <c r="F833" s="4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2"/>
      <c r="C834" s="3"/>
      <c r="D834" s="3"/>
      <c r="E834" s="3"/>
      <c r="F834" s="4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2"/>
      <c r="C835" s="3"/>
      <c r="D835" s="3"/>
      <c r="E835" s="3"/>
      <c r="F835" s="4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2"/>
      <c r="C836" s="3"/>
      <c r="D836" s="3"/>
      <c r="E836" s="3"/>
      <c r="F836" s="4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2"/>
      <c r="C837" s="3"/>
      <c r="D837" s="3"/>
      <c r="E837" s="3"/>
      <c r="F837" s="4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2"/>
      <c r="C838" s="3"/>
      <c r="D838" s="3"/>
      <c r="E838" s="3"/>
      <c r="F838" s="4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2"/>
      <c r="C839" s="3"/>
      <c r="D839" s="3"/>
      <c r="E839" s="3"/>
      <c r="F839" s="4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2"/>
      <c r="C840" s="3"/>
      <c r="D840" s="3"/>
      <c r="E840" s="3"/>
      <c r="F840" s="4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2"/>
      <c r="C841" s="3"/>
      <c r="D841" s="3"/>
      <c r="E841" s="3"/>
      <c r="F841" s="4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2"/>
      <c r="C842" s="3"/>
      <c r="D842" s="3"/>
      <c r="E842" s="3"/>
      <c r="F842" s="4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2"/>
      <c r="C843" s="3"/>
      <c r="D843" s="3"/>
      <c r="E843" s="3"/>
      <c r="F843" s="4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2"/>
      <c r="C844" s="3"/>
      <c r="D844" s="3"/>
      <c r="E844" s="3"/>
      <c r="F844" s="4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2"/>
      <c r="C845" s="3"/>
      <c r="D845" s="3"/>
      <c r="E845" s="3"/>
      <c r="F845" s="4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2"/>
      <c r="C846" s="3"/>
      <c r="D846" s="3"/>
      <c r="E846" s="3"/>
      <c r="F846" s="4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2"/>
      <c r="C847" s="3"/>
      <c r="D847" s="3"/>
      <c r="E847" s="3"/>
      <c r="F847" s="4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2"/>
      <c r="C848" s="3"/>
      <c r="D848" s="3"/>
      <c r="E848" s="3"/>
      <c r="F848" s="4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2"/>
      <c r="C849" s="3"/>
      <c r="D849" s="3"/>
      <c r="E849" s="3"/>
      <c r="F849" s="4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2"/>
      <c r="C850" s="3"/>
      <c r="D850" s="3"/>
      <c r="E850" s="3"/>
      <c r="F850" s="4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2"/>
      <c r="C851" s="3"/>
      <c r="D851" s="3"/>
      <c r="E851" s="3"/>
      <c r="F851" s="4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2"/>
      <c r="C852" s="3"/>
      <c r="D852" s="3"/>
      <c r="E852" s="3"/>
      <c r="F852" s="4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2"/>
      <c r="C853" s="3"/>
      <c r="D853" s="3"/>
      <c r="E853" s="3"/>
      <c r="F853" s="4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2"/>
      <c r="C854" s="3"/>
      <c r="D854" s="3"/>
      <c r="E854" s="3"/>
      <c r="F854" s="4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2"/>
      <c r="C855" s="3"/>
      <c r="D855" s="3"/>
      <c r="E855" s="3"/>
      <c r="F855" s="4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2"/>
      <c r="C856" s="3"/>
      <c r="D856" s="3"/>
      <c r="E856" s="3"/>
      <c r="F856" s="4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2"/>
      <c r="C857" s="3"/>
      <c r="D857" s="3"/>
      <c r="E857" s="3"/>
      <c r="F857" s="4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2"/>
      <c r="C858" s="3"/>
      <c r="D858" s="3"/>
      <c r="E858" s="3"/>
      <c r="F858" s="4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2"/>
      <c r="C859" s="3"/>
      <c r="D859" s="3"/>
      <c r="E859" s="3"/>
      <c r="F859" s="4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2"/>
      <c r="C860" s="3"/>
      <c r="D860" s="3"/>
      <c r="E860" s="3"/>
      <c r="F860" s="4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2"/>
      <c r="C861" s="3"/>
      <c r="D861" s="3"/>
      <c r="E861" s="3"/>
      <c r="F861" s="4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2"/>
      <c r="C862" s="3"/>
      <c r="D862" s="3"/>
      <c r="E862" s="3"/>
      <c r="F862" s="4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2"/>
      <c r="C863" s="3"/>
      <c r="D863" s="3"/>
      <c r="E863" s="3"/>
      <c r="F863" s="4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2"/>
      <c r="C864" s="3"/>
      <c r="D864" s="3"/>
      <c r="E864" s="3"/>
      <c r="F864" s="4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2"/>
      <c r="C865" s="3"/>
      <c r="D865" s="3"/>
      <c r="E865" s="3"/>
      <c r="F865" s="4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2"/>
      <c r="C866" s="3"/>
      <c r="D866" s="3"/>
      <c r="E866" s="3"/>
      <c r="F866" s="4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2"/>
      <c r="C867" s="3"/>
      <c r="D867" s="3"/>
      <c r="E867" s="3"/>
      <c r="F867" s="4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2"/>
      <c r="C868" s="3"/>
      <c r="D868" s="3"/>
      <c r="E868" s="3"/>
      <c r="F868" s="4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2"/>
      <c r="C869" s="3"/>
      <c r="D869" s="3"/>
      <c r="E869" s="3"/>
      <c r="F869" s="4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2"/>
      <c r="C870" s="3"/>
      <c r="D870" s="3"/>
      <c r="E870" s="3"/>
      <c r="F870" s="4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2"/>
      <c r="C871" s="3"/>
      <c r="D871" s="3"/>
      <c r="E871" s="3"/>
      <c r="F871" s="4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2"/>
      <c r="C872" s="3"/>
      <c r="D872" s="3"/>
      <c r="E872" s="3"/>
      <c r="F872" s="4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2"/>
      <c r="C873" s="3"/>
      <c r="D873" s="3"/>
      <c r="E873" s="3"/>
      <c r="F873" s="4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2"/>
      <c r="C874" s="3"/>
      <c r="D874" s="3"/>
      <c r="E874" s="3"/>
      <c r="F874" s="4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2"/>
      <c r="C875" s="3"/>
      <c r="D875" s="3"/>
      <c r="E875" s="3"/>
      <c r="F875" s="4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2"/>
      <c r="C876" s="3"/>
      <c r="D876" s="3"/>
      <c r="E876" s="3"/>
      <c r="F876" s="4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2"/>
      <c r="C877" s="3"/>
      <c r="D877" s="3"/>
      <c r="E877" s="3"/>
      <c r="F877" s="4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2"/>
      <c r="C878" s="3"/>
      <c r="D878" s="3"/>
      <c r="E878" s="3"/>
      <c r="F878" s="4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2"/>
      <c r="C879" s="3"/>
      <c r="D879" s="3"/>
      <c r="E879" s="3"/>
      <c r="F879" s="4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2"/>
      <c r="C880" s="3"/>
      <c r="D880" s="3"/>
      <c r="E880" s="3"/>
      <c r="F880" s="4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2"/>
      <c r="C881" s="3"/>
      <c r="D881" s="3"/>
      <c r="E881" s="3"/>
      <c r="F881" s="4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2"/>
      <c r="C882" s="3"/>
      <c r="D882" s="3"/>
      <c r="E882" s="3"/>
      <c r="F882" s="4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2"/>
      <c r="C883" s="3"/>
      <c r="D883" s="3"/>
      <c r="E883" s="3"/>
      <c r="F883" s="4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2"/>
      <c r="C884" s="3"/>
      <c r="D884" s="3"/>
      <c r="E884" s="3"/>
      <c r="F884" s="4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2"/>
      <c r="C885" s="3"/>
      <c r="D885" s="3"/>
      <c r="E885" s="3"/>
      <c r="F885" s="4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2"/>
      <c r="C886" s="3"/>
      <c r="D886" s="3"/>
      <c r="E886" s="3"/>
      <c r="F886" s="4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2"/>
      <c r="C887" s="3"/>
      <c r="D887" s="3"/>
      <c r="E887" s="3"/>
      <c r="F887" s="4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2"/>
      <c r="C888" s="3"/>
      <c r="D888" s="3"/>
      <c r="E888" s="3"/>
      <c r="F888" s="4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2"/>
      <c r="C889" s="3"/>
      <c r="D889" s="3"/>
      <c r="E889" s="3"/>
      <c r="F889" s="4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2"/>
      <c r="C890" s="3"/>
      <c r="D890" s="3"/>
      <c r="E890" s="3"/>
      <c r="F890" s="4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2"/>
      <c r="C891" s="3"/>
      <c r="D891" s="3"/>
      <c r="E891" s="3"/>
      <c r="F891" s="4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2"/>
      <c r="C892" s="3"/>
      <c r="D892" s="3"/>
      <c r="E892" s="3"/>
      <c r="F892" s="4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2"/>
      <c r="C893" s="3"/>
      <c r="D893" s="3"/>
      <c r="E893" s="3"/>
      <c r="F893" s="4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2"/>
      <c r="C894" s="3"/>
      <c r="D894" s="3"/>
      <c r="E894" s="3"/>
      <c r="F894" s="4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2"/>
      <c r="C895" s="3"/>
      <c r="D895" s="3"/>
      <c r="E895" s="3"/>
      <c r="F895" s="4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2"/>
      <c r="C896" s="3"/>
      <c r="D896" s="3"/>
      <c r="E896" s="3"/>
      <c r="F896" s="4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2"/>
      <c r="C897" s="3"/>
      <c r="D897" s="3"/>
      <c r="E897" s="3"/>
      <c r="F897" s="4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2"/>
      <c r="C898" s="3"/>
      <c r="D898" s="3"/>
      <c r="E898" s="3"/>
      <c r="F898" s="4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2"/>
      <c r="C899" s="3"/>
      <c r="D899" s="3"/>
      <c r="E899" s="3"/>
      <c r="F899" s="4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2"/>
      <c r="C900" s="3"/>
      <c r="D900" s="3"/>
      <c r="E900" s="3"/>
      <c r="F900" s="4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2"/>
      <c r="C901" s="3"/>
      <c r="D901" s="3"/>
      <c r="E901" s="3"/>
      <c r="F901" s="4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2"/>
      <c r="C902" s="3"/>
      <c r="D902" s="3"/>
      <c r="E902" s="3"/>
      <c r="F902" s="4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2"/>
      <c r="C903" s="3"/>
      <c r="D903" s="3"/>
      <c r="E903" s="3"/>
      <c r="F903" s="4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2"/>
      <c r="C904" s="3"/>
      <c r="D904" s="3"/>
      <c r="E904" s="3"/>
      <c r="F904" s="4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2"/>
      <c r="C905" s="3"/>
      <c r="D905" s="3"/>
      <c r="E905" s="3"/>
      <c r="F905" s="4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2"/>
      <c r="C906" s="3"/>
      <c r="D906" s="3"/>
      <c r="E906" s="3"/>
      <c r="F906" s="4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2"/>
      <c r="C907" s="3"/>
      <c r="D907" s="3"/>
      <c r="E907" s="3"/>
      <c r="F907" s="4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2"/>
      <c r="C908" s="3"/>
      <c r="D908" s="3"/>
      <c r="E908" s="3"/>
      <c r="F908" s="4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2"/>
      <c r="C909" s="3"/>
      <c r="D909" s="3"/>
      <c r="E909" s="3"/>
      <c r="F909" s="4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2"/>
      <c r="C910" s="3"/>
      <c r="D910" s="3"/>
      <c r="E910" s="3"/>
      <c r="F910" s="4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2"/>
      <c r="C911" s="3"/>
      <c r="D911" s="3"/>
      <c r="E911" s="3"/>
      <c r="F911" s="4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2"/>
      <c r="C912" s="3"/>
      <c r="D912" s="3"/>
      <c r="E912" s="3"/>
      <c r="F912" s="4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2"/>
      <c r="C913" s="3"/>
      <c r="D913" s="3"/>
      <c r="E913" s="3"/>
      <c r="F913" s="4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2"/>
      <c r="C914" s="3"/>
      <c r="D914" s="3"/>
      <c r="E914" s="3"/>
      <c r="F914" s="4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2"/>
      <c r="C915" s="3"/>
      <c r="D915" s="3"/>
      <c r="E915" s="3"/>
      <c r="F915" s="4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2"/>
      <c r="C916" s="3"/>
      <c r="D916" s="3"/>
      <c r="E916" s="3"/>
      <c r="F916" s="4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2"/>
      <c r="C917" s="3"/>
      <c r="D917" s="3"/>
      <c r="E917" s="3"/>
      <c r="F917" s="4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2"/>
      <c r="C918" s="3"/>
      <c r="D918" s="3"/>
      <c r="E918" s="3"/>
      <c r="F918" s="4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2"/>
      <c r="C919" s="3"/>
      <c r="D919" s="3"/>
      <c r="E919" s="3"/>
      <c r="F919" s="4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2"/>
      <c r="C920" s="3"/>
      <c r="D920" s="3"/>
      <c r="E920" s="3"/>
      <c r="F920" s="4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2"/>
      <c r="C921" s="3"/>
      <c r="D921" s="3"/>
      <c r="E921" s="3"/>
      <c r="F921" s="4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2"/>
      <c r="C922" s="3"/>
      <c r="D922" s="3"/>
      <c r="E922" s="3"/>
      <c r="F922" s="4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2"/>
      <c r="C923" s="3"/>
      <c r="D923" s="3"/>
      <c r="E923" s="3"/>
      <c r="F923" s="4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2"/>
      <c r="C924" s="3"/>
      <c r="D924" s="3"/>
      <c r="E924" s="3"/>
      <c r="F924" s="4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2"/>
      <c r="C925" s="3"/>
      <c r="D925" s="3"/>
      <c r="E925" s="3"/>
      <c r="F925" s="4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2"/>
      <c r="C926" s="3"/>
      <c r="D926" s="3"/>
      <c r="E926" s="3"/>
      <c r="F926" s="4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2"/>
      <c r="C927" s="3"/>
      <c r="D927" s="3"/>
      <c r="E927" s="3"/>
      <c r="F927" s="4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2"/>
      <c r="C928" s="3"/>
      <c r="D928" s="3"/>
      <c r="E928" s="3"/>
      <c r="F928" s="4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2"/>
      <c r="C929" s="3"/>
      <c r="D929" s="3"/>
      <c r="E929" s="3"/>
      <c r="F929" s="4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2"/>
      <c r="C930" s="3"/>
      <c r="D930" s="3"/>
      <c r="E930" s="3"/>
      <c r="F930" s="4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2"/>
      <c r="C931" s="3"/>
      <c r="D931" s="3"/>
      <c r="E931" s="3"/>
      <c r="F931" s="4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2"/>
      <c r="C932" s="3"/>
      <c r="D932" s="3"/>
      <c r="E932" s="3"/>
      <c r="F932" s="4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2"/>
      <c r="C933" s="3"/>
      <c r="D933" s="3"/>
      <c r="E933" s="3"/>
      <c r="F933" s="4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2"/>
      <c r="C934" s="3"/>
      <c r="D934" s="3"/>
      <c r="E934" s="3"/>
      <c r="F934" s="4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2"/>
      <c r="C935" s="3"/>
      <c r="D935" s="3"/>
      <c r="E935" s="3"/>
      <c r="F935" s="4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2"/>
      <c r="C936" s="3"/>
      <c r="D936" s="3"/>
      <c r="E936" s="3"/>
      <c r="F936" s="4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2"/>
      <c r="C937" s="3"/>
      <c r="D937" s="3"/>
      <c r="E937" s="3"/>
      <c r="F937" s="4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2"/>
      <c r="C938" s="3"/>
      <c r="D938" s="3"/>
      <c r="E938" s="3"/>
      <c r="F938" s="4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2"/>
      <c r="C939" s="3"/>
      <c r="D939" s="3"/>
      <c r="E939" s="3"/>
      <c r="F939" s="4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2"/>
      <c r="C940" s="3"/>
      <c r="D940" s="3"/>
      <c r="E940" s="3"/>
      <c r="F940" s="4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2"/>
      <c r="C941" s="3"/>
      <c r="D941" s="3"/>
      <c r="E941" s="3"/>
      <c r="F941" s="4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2"/>
      <c r="C942" s="3"/>
      <c r="D942" s="3"/>
      <c r="E942" s="3"/>
      <c r="F942" s="4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2"/>
      <c r="C943" s="3"/>
      <c r="D943" s="3"/>
      <c r="E943" s="3"/>
      <c r="F943" s="4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2"/>
      <c r="C944" s="3"/>
      <c r="D944" s="3"/>
      <c r="E944" s="3"/>
      <c r="F944" s="4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2"/>
      <c r="C945" s="3"/>
      <c r="D945" s="3"/>
      <c r="E945" s="3"/>
      <c r="F945" s="4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2"/>
      <c r="C946" s="3"/>
      <c r="D946" s="3"/>
      <c r="E946" s="3"/>
      <c r="F946" s="4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2"/>
      <c r="C947" s="3"/>
      <c r="D947" s="3"/>
      <c r="E947" s="3"/>
      <c r="F947" s="4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2"/>
      <c r="C948" s="3"/>
      <c r="D948" s="3"/>
      <c r="E948" s="3"/>
      <c r="F948" s="4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2"/>
      <c r="C949" s="3"/>
      <c r="D949" s="3"/>
      <c r="E949" s="3"/>
      <c r="F949" s="4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2"/>
      <c r="C950" s="3"/>
      <c r="D950" s="3"/>
      <c r="E950" s="3"/>
      <c r="F950" s="4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2"/>
      <c r="C951" s="3"/>
      <c r="D951" s="3"/>
      <c r="E951" s="3"/>
      <c r="F951" s="4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2"/>
      <c r="C952" s="3"/>
      <c r="D952" s="3"/>
      <c r="E952" s="3"/>
      <c r="F952" s="4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2"/>
      <c r="C953" s="3"/>
      <c r="D953" s="3"/>
      <c r="E953" s="3"/>
      <c r="F953" s="4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2"/>
      <c r="C954" s="3"/>
      <c r="D954" s="3"/>
      <c r="E954" s="3"/>
      <c r="F954" s="4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2"/>
      <c r="C955" s="3"/>
      <c r="D955" s="3"/>
      <c r="E955" s="3"/>
      <c r="F955" s="4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2"/>
      <c r="C956" s="3"/>
      <c r="D956" s="3"/>
      <c r="E956" s="3"/>
      <c r="F956" s="4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2"/>
      <c r="C957" s="3"/>
      <c r="D957" s="3"/>
      <c r="E957" s="3"/>
      <c r="F957" s="4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2"/>
      <c r="C958" s="3"/>
      <c r="D958" s="3"/>
      <c r="E958" s="3"/>
      <c r="F958" s="4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2"/>
      <c r="C959" s="3"/>
      <c r="D959" s="3"/>
      <c r="E959" s="3"/>
      <c r="F959" s="4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2"/>
      <c r="C960" s="3"/>
      <c r="D960" s="3"/>
      <c r="E960" s="3"/>
      <c r="F960" s="4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2"/>
      <c r="C961" s="3"/>
      <c r="D961" s="3"/>
      <c r="E961" s="3"/>
      <c r="F961" s="4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2"/>
      <c r="C962" s="3"/>
      <c r="D962" s="3"/>
      <c r="E962" s="3"/>
      <c r="F962" s="4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2"/>
      <c r="C963" s="3"/>
      <c r="D963" s="3"/>
      <c r="E963" s="3"/>
      <c r="F963" s="4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2"/>
      <c r="C964" s="3"/>
      <c r="D964" s="3"/>
      <c r="E964" s="3"/>
      <c r="F964" s="4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2"/>
      <c r="C965" s="3"/>
      <c r="D965" s="3"/>
      <c r="E965" s="3"/>
      <c r="F965" s="4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2"/>
      <c r="C966" s="3"/>
      <c r="D966" s="3"/>
      <c r="E966" s="3"/>
      <c r="F966" s="4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2"/>
      <c r="C967" s="3"/>
      <c r="D967" s="3"/>
      <c r="E967" s="3"/>
      <c r="F967" s="4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2"/>
      <c r="C968" s="3"/>
      <c r="D968" s="3"/>
      <c r="E968" s="3"/>
      <c r="F968" s="4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2"/>
      <c r="C969" s="3"/>
      <c r="D969" s="3"/>
      <c r="E969" s="3"/>
      <c r="F969" s="4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2"/>
      <c r="C970" s="3"/>
      <c r="D970" s="3"/>
      <c r="E970" s="3"/>
      <c r="F970" s="4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2"/>
      <c r="C971" s="3"/>
      <c r="D971" s="3"/>
      <c r="E971" s="3"/>
      <c r="F971" s="4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2"/>
      <c r="C972" s="3"/>
      <c r="D972" s="3"/>
      <c r="E972" s="3"/>
      <c r="F972" s="4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2"/>
      <c r="C973" s="3"/>
      <c r="D973" s="3"/>
      <c r="E973" s="3"/>
      <c r="F973" s="4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2"/>
      <c r="C974" s="3"/>
      <c r="D974" s="3"/>
      <c r="E974" s="3"/>
      <c r="F974" s="4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2"/>
      <c r="C975" s="3"/>
      <c r="D975" s="3"/>
      <c r="E975" s="3"/>
      <c r="F975" s="4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2"/>
      <c r="C976" s="3"/>
      <c r="D976" s="3"/>
      <c r="E976" s="3"/>
      <c r="F976" s="4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2"/>
      <c r="C977" s="3"/>
      <c r="D977" s="3"/>
      <c r="E977" s="3"/>
      <c r="F977" s="4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2"/>
      <c r="C978" s="3"/>
      <c r="D978" s="3"/>
      <c r="E978" s="3"/>
      <c r="F978" s="4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2"/>
      <c r="C979" s="3"/>
      <c r="D979" s="3"/>
      <c r="E979" s="3"/>
      <c r="F979" s="4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2"/>
      <c r="C980" s="3"/>
      <c r="D980" s="3"/>
      <c r="E980" s="3"/>
      <c r="F980" s="4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2"/>
      <c r="C981" s="3"/>
      <c r="D981" s="3"/>
      <c r="E981" s="3"/>
      <c r="F981" s="4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2"/>
      <c r="C982" s="3"/>
      <c r="D982" s="3"/>
      <c r="E982" s="3"/>
      <c r="F982" s="4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2"/>
      <c r="C983" s="3"/>
      <c r="D983" s="3"/>
      <c r="E983" s="3"/>
      <c r="F983" s="4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2"/>
      <c r="C984" s="3"/>
      <c r="D984" s="3"/>
      <c r="E984" s="3"/>
      <c r="F984" s="4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2"/>
      <c r="C985" s="3"/>
      <c r="D985" s="3"/>
      <c r="E985" s="3"/>
      <c r="F985" s="4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2"/>
      <c r="C986" s="3"/>
      <c r="D986" s="3"/>
      <c r="E986" s="3"/>
      <c r="F986" s="4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2"/>
      <c r="C987" s="3"/>
      <c r="D987" s="3"/>
      <c r="E987" s="3"/>
      <c r="F987" s="4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2"/>
      <c r="C988" s="3"/>
      <c r="D988" s="3"/>
      <c r="E988" s="3"/>
      <c r="F988" s="4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2"/>
      <c r="C989" s="3"/>
      <c r="D989" s="3"/>
      <c r="E989" s="3"/>
      <c r="F989" s="4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2"/>
      <c r="C990" s="3"/>
      <c r="D990" s="3"/>
      <c r="E990" s="3"/>
      <c r="F990" s="4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2"/>
      <c r="C991" s="3"/>
      <c r="D991" s="3"/>
      <c r="E991" s="3"/>
      <c r="F991" s="4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2"/>
      <c r="C992" s="3"/>
      <c r="D992" s="3"/>
      <c r="E992" s="3"/>
      <c r="F992" s="4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2"/>
      <c r="C993" s="3"/>
      <c r="D993" s="3"/>
      <c r="E993" s="3"/>
      <c r="F993" s="4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2"/>
      <c r="C994" s="3"/>
      <c r="D994" s="3"/>
      <c r="E994" s="3"/>
      <c r="F994" s="4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</sheetData>
  <mergeCells count="10">
    <mergeCell ref="A4:G5"/>
    <mergeCell ref="A6:G6"/>
    <mergeCell ref="D9:E9"/>
    <mergeCell ref="A10:A11"/>
    <mergeCell ref="B10:B11"/>
    <mergeCell ref="C10:C11"/>
    <mergeCell ref="D10:D11"/>
    <mergeCell ref="E10:E11"/>
    <mergeCell ref="F10:F11"/>
    <mergeCell ref="G10:G11"/>
  </mergeCells>
  <conditionalFormatting sqref="D9:F9">
    <cfRule type="notContainsBlanks" dxfId="6" priority="1">
      <formula>LEN(TRIM(D9))&gt;0</formula>
    </cfRule>
  </conditionalFormatting>
  <conditionalFormatting sqref="A12:A55">
    <cfRule type="notContainsBlanks" dxfId="5" priority="2">
      <formula>LEN(TRIM(A12))&gt;0</formula>
    </cfRule>
  </conditionalFormatting>
  <printOptions horizontalCentered="1"/>
  <pageMargins left="0" right="0" top="0.196850393700787" bottom="0.196850393700787" header="0" footer="0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994"/>
  <sheetViews>
    <sheetView zoomScale="58" zoomScaleNormal="58" workbookViewId="0">
      <selection activeCell="BL57" sqref="BL57"/>
    </sheetView>
  </sheetViews>
  <sheetFormatPr defaultColWidth="14.44140625" defaultRowHeight="14.4" outlineLevelCol="1"/>
  <cols>
    <col min="1" max="1" width="6.6640625" customWidth="1"/>
    <col min="2" max="2" width="11.6640625" hidden="1" customWidth="1" outlineLevel="1" collapsed="1"/>
    <col min="3" max="3" width="14.109375" customWidth="1" collapsed="1"/>
    <col min="4" max="4" width="22.88671875" customWidth="1"/>
    <col min="5" max="5" width="8.5546875" customWidth="1"/>
    <col min="6" max="6" width="13.5546875" hidden="1" customWidth="1"/>
    <col min="7" max="7" width="6.109375" customWidth="1"/>
    <col min="8" max="8" width="3.44140625" customWidth="1"/>
    <col min="9" max="9" width="6.109375" customWidth="1"/>
    <col min="10" max="10" width="3.109375" customWidth="1"/>
    <col min="11" max="11" width="3.44140625" customWidth="1"/>
    <col min="12" max="12" width="6.109375" customWidth="1"/>
    <col min="13" max="13" width="3.109375" customWidth="1"/>
    <col min="14" max="14" width="3.44140625" customWidth="1"/>
    <col min="15" max="15" width="6.109375" customWidth="1"/>
    <col min="16" max="16" width="3.109375" customWidth="1"/>
    <col min="17" max="17" width="3.44140625" customWidth="1"/>
    <col min="18" max="18" width="6.109375" customWidth="1"/>
    <col min="19" max="19" width="3.109375" customWidth="1"/>
    <col min="20" max="20" width="3.44140625" customWidth="1"/>
    <col min="21" max="21" width="7.44140625" customWidth="1"/>
    <col min="22" max="22" width="3.109375" customWidth="1"/>
    <col min="23" max="23" width="3.44140625" customWidth="1"/>
    <col min="24" max="24" width="7.44140625" customWidth="1"/>
    <col min="25" max="25" width="3.109375" customWidth="1"/>
    <col min="26" max="26" width="3.44140625" customWidth="1"/>
    <col min="27" max="27" width="7.44140625" customWidth="1"/>
    <col min="28" max="28" width="3.109375" customWidth="1"/>
    <col min="29" max="29" width="3.44140625" customWidth="1"/>
    <col min="30" max="30" width="6.109375" customWidth="1"/>
    <col min="31" max="31" width="3.109375" customWidth="1"/>
    <col min="32" max="32" width="3.44140625" customWidth="1"/>
    <col min="33" max="33" width="7.44140625" customWidth="1"/>
    <col min="34" max="34" width="3.109375" customWidth="1"/>
    <col min="35" max="35" width="3.44140625" customWidth="1"/>
    <col min="36" max="36" width="7.44140625" customWidth="1"/>
    <col min="37" max="37" width="3.109375" customWidth="1"/>
    <col min="38" max="38" width="3.44140625" customWidth="1"/>
    <col min="39" max="39" width="7.44140625" customWidth="1"/>
    <col min="40" max="40" width="3.109375" customWidth="1"/>
    <col min="41" max="41" width="3.44140625" customWidth="1"/>
    <col min="42" max="42" width="6.109375" customWidth="1"/>
    <col min="43" max="43" width="3.109375" customWidth="1"/>
    <col min="44" max="44" width="3.44140625" customWidth="1"/>
    <col min="45" max="45" width="7.44140625" customWidth="1"/>
    <col min="46" max="46" width="3.109375" customWidth="1"/>
    <col min="47" max="47" width="3.44140625" customWidth="1"/>
    <col min="48" max="48" width="6.6640625" customWidth="1"/>
    <col min="49" max="49" width="5.33203125" customWidth="1"/>
    <col min="50" max="50" width="3" customWidth="1"/>
    <col min="51" max="51" width="4.88671875" customWidth="1"/>
    <col min="52" max="52" width="3" customWidth="1"/>
    <col min="53" max="53" width="5.33203125" customWidth="1"/>
    <col min="54" max="54" width="3" customWidth="1"/>
    <col min="55" max="55" width="7.44140625" customWidth="1"/>
    <col min="56" max="56" width="4.33203125" customWidth="1"/>
    <col min="57" max="57" width="3" customWidth="1"/>
    <col min="58" max="58" width="8.109375" customWidth="1"/>
    <col min="59" max="59" width="4.88671875" customWidth="1"/>
    <col min="60" max="60" width="7.5546875" customWidth="1"/>
    <col min="61" max="61" width="9.109375" customWidth="1"/>
    <col min="62" max="62" width="16.109375" customWidth="1"/>
  </cols>
  <sheetData>
    <row r="1" spans="1:62" ht="16.8" customHeight="1">
      <c r="A1" s="1" t="s">
        <v>0</v>
      </c>
      <c r="B1" s="3"/>
      <c r="C1" s="3"/>
      <c r="D1" s="3"/>
      <c r="E1" s="3"/>
      <c r="F1" s="3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1"/>
      <c r="BJ1" s="21"/>
    </row>
    <row r="2" spans="1:62" ht="16.8" customHeight="1">
      <c r="A2" s="5" t="s">
        <v>1</v>
      </c>
      <c r="B2" s="3"/>
      <c r="C2" s="3"/>
      <c r="D2" s="3"/>
      <c r="E2" s="3"/>
      <c r="F2" s="3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1"/>
      <c r="BJ2" s="21"/>
    </row>
    <row r="3" spans="1:62" ht="16.8" customHeight="1">
      <c r="A3" s="6" t="s">
        <v>2</v>
      </c>
      <c r="B3" s="3"/>
      <c r="C3" s="3"/>
      <c r="D3" s="3"/>
      <c r="E3" s="3"/>
      <c r="F3" s="3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1"/>
      <c r="BJ3" s="21"/>
    </row>
    <row r="4" spans="1:62" ht="14.4" customHeight="1">
      <c r="A4" s="60" t="s">
        <v>480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1"/>
      <c r="BJ4" s="21"/>
    </row>
    <row r="5" spans="1:62" ht="14.4" customHeight="1">
      <c r="A5" s="61"/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1"/>
      <c r="BJ5" s="21"/>
    </row>
    <row r="6" spans="1:62" ht="27.6" customHeight="1">
      <c r="A6" s="62" t="s">
        <v>3</v>
      </c>
      <c r="B6" s="61"/>
      <c r="C6" s="61"/>
      <c r="D6" s="61"/>
      <c r="E6" s="61"/>
      <c r="F6" s="61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1"/>
      <c r="BJ6" s="21"/>
    </row>
    <row r="7" spans="1:62" ht="15" customHeight="1">
      <c r="A7" s="7"/>
      <c r="B7" s="3"/>
      <c r="C7" s="8" t="s">
        <v>4</v>
      </c>
      <c r="D7" s="9"/>
      <c r="E7" s="7"/>
      <c r="F7" s="7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1"/>
      <c r="BJ7" s="21"/>
    </row>
    <row r="8" spans="1:62" ht="16.8" customHeight="1">
      <c r="A8" s="7"/>
      <c r="B8" s="2"/>
      <c r="C8" s="7"/>
      <c r="D8" s="9"/>
      <c r="E8" s="7"/>
      <c r="F8" s="7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1"/>
      <c r="BJ8" s="21"/>
    </row>
    <row r="9" spans="1:62" ht="16.8" customHeight="1">
      <c r="A9" s="3"/>
      <c r="B9" s="2"/>
      <c r="C9" s="3"/>
      <c r="D9" s="63"/>
      <c r="E9" s="64"/>
      <c r="F9" s="7"/>
      <c r="G9" s="20"/>
      <c r="H9" s="20"/>
      <c r="I9" s="20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3">
        <v>0.1</v>
      </c>
      <c r="BG9" s="23">
        <v>0.3</v>
      </c>
      <c r="BH9" s="23">
        <v>0.1</v>
      </c>
      <c r="BI9" s="21"/>
      <c r="BJ9" s="24">
        <v>8.6999999999999993</v>
      </c>
    </row>
    <row r="10" spans="1:62" ht="15" customHeight="1">
      <c r="A10" s="65" t="s">
        <v>7</v>
      </c>
      <c r="B10" s="65" t="s">
        <v>8</v>
      </c>
      <c r="C10" s="65" t="s">
        <v>9</v>
      </c>
      <c r="D10" s="67" t="s">
        <v>10</v>
      </c>
      <c r="E10" s="69"/>
      <c r="F10" s="65" t="s">
        <v>11</v>
      </c>
      <c r="G10" s="73" t="s">
        <v>155</v>
      </c>
      <c r="H10" s="74"/>
      <c r="I10" s="25" t="s">
        <v>156</v>
      </c>
      <c r="J10" s="73" t="s">
        <v>157</v>
      </c>
      <c r="K10" s="74"/>
      <c r="L10" s="25" t="s">
        <v>158</v>
      </c>
      <c r="M10" s="73" t="s">
        <v>159</v>
      </c>
      <c r="N10" s="74"/>
      <c r="O10" s="25" t="s">
        <v>160</v>
      </c>
      <c r="P10" s="73" t="s">
        <v>161</v>
      </c>
      <c r="Q10" s="74"/>
      <c r="R10" s="25" t="s">
        <v>162</v>
      </c>
      <c r="S10" s="73" t="s">
        <v>163</v>
      </c>
      <c r="T10" s="74"/>
      <c r="U10" s="25" t="s">
        <v>164</v>
      </c>
      <c r="V10" s="73" t="s">
        <v>165</v>
      </c>
      <c r="W10" s="74"/>
      <c r="X10" s="25" t="s">
        <v>166</v>
      </c>
      <c r="Y10" s="73" t="s">
        <v>167</v>
      </c>
      <c r="Z10" s="74"/>
      <c r="AA10" s="25" t="s">
        <v>168</v>
      </c>
      <c r="AB10" s="73" t="s">
        <v>169</v>
      </c>
      <c r="AC10" s="74"/>
      <c r="AD10" s="25" t="s">
        <v>170</v>
      </c>
      <c r="AE10" s="73" t="s">
        <v>171</v>
      </c>
      <c r="AF10" s="74"/>
      <c r="AG10" s="25" t="s">
        <v>172</v>
      </c>
      <c r="AH10" s="73" t="s">
        <v>173</v>
      </c>
      <c r="AI10" s="74"/>
      <c r="AJ10" s="25" t="s">
        <v>174</v>
      </c>
      <c r="AK10" s="73" t="s">
        <v>175</v>
      </c>
      <c r="AL10" s="74"/>
      <c r="AM10" s="25" t="s">
        <v>176</v>
      </c>
      <c r="AN10" s="73" t="s">
        <v>177</v>
      </c>
      <c r="AO10" s="74"/>
      <c r="AP10" s="25" t="s">
        <v>178</v>
      </c>
      <c r="AQ10" s="73" t="s">
        <v>179</v>
      </c>
      <c r="AR10" s="74"/>
      <c r="AS10" s="25" t="s">
        <v>180</v>
      </c>
      <c r="AT10" s="73" t="s">
        <v>181</v>
      </c>
      <c r="AU10" s="74"/>
      <c r="AV10" s="25" t="s">
        <v>182</v>
      </c>
      <c r="AW10" s="73" t="s">
        <v>183</v>
      </c>
      <c r="AX10" s="74"/>
      <c r="AY10" s="73" t="s">
        <v>184</v>
      </c>
      <c r="AZ10" s="74"/>
      <c r="BA10" s="73" t="s">
        <v>185</v>
      </c>
      <c r="BB10" s="74"/>
      <c r="BC10" s="25" t="s">
        <v>186</v>
      </c>
      <c r="BD10" s="73" t="s">
        <v>187</v>
      </c>
      <c r="BE10" s="74"/>
      <c r="BF10" s="75" t="s">
        <v>188</v>
      </c>
      <c r="BG10" s="76"/>
      <c r="BH10" s="77"/>
      <c r="BI10" s="71" t="s">
        <v>189</v>
      </c>
      <c r="BJ10" s="71" t="s">
        <v>190</v>
      </c>
    </row>
    <row r="11" spans="1:62" ht="16.8" customHeight="1">
      <c r="A11" s="66"/>
      <c r="B11" s="66"/>
      <c r="C11" s="66"/>
      <c r="D11" s="68"/>
      <c r="E11" s="70"/>
      <c r="F11" s="66"/>
      <c r="G11" s="26" t="s">
        <v>191</v>
      </c>
      <c r="H11" s="26" t="s">
        <v>192</v>
      </c>
      <c r="I11" s="26" t="s">
        <v>193</v>
      </c>
      <c r="J11" s="26" t="s">
        <v>191</v>
      </c>
      <c r="K11" s="26" t="s">
        <v>192</v>
      </c>
      <c r="L11" s="26" t="s">
        <v>193</v>
      </c>
      <c r="M11" s="26" t="s">
        <v>191</v>
      </c>
      <c r="N11" s="26" t="s">
        <v>192</v>
      </c>
      <c r="O11" s="26" t="s">
        <v>193</v>
      </c>
      <c r="P11" s="26" t="s">
        <v>191</v>
      </c>
      <c r="Q11" s="26" t="s">
        <v>192</v>
      </c>
      <c r="R11" s="26" t="s">
        <v>193</v>
      </c>
      <c r="S11" s="26" t="s">
        <v>191</v>
      </c>
      <c r="T11" s="26" t="s">
        <v>192</v>
      </c>
      <c r="U11" s="26" t="s">
        <v>193</v>
      </c>
      <c r="V11" s="26" t="s">
        <v>191</v>
      </c>
      <c r="W11" s="26" t="s">
        <v>192</v>
      </c>
      <c r="X11" s="26" t="s">
        <v>193</v>
      </c>
      <c r="Y11" s="26" t="s">
        <v>191</v>
      </c>
      <c r="Z11" s="26" t="s">
        <v>192</v>
      </c>
      <c r="AA11" s="26" t="s">
        <v>193</v>
      </c>
      <c r="AB11" s="26" t="s">
        <v>191</v>
      </c>
      <c r="AC11" s="26" t="s">
        <v>192</v>
      </c>
      <c r="AD11" s="26" t="s">
        <v>193</v>
      </c>
      <c r="AE11" s="26" t="s">
        <v>191</v>
      </c>
      <c r="AF11" s="26" t="s">
        <v>192</v>
      </c>
      <c r="AG11" s="26" t="s">
        <v>193</v>
      </c>
      <c r="AH11" s="26" t="s">
        <v>191</v>
      </c>
      <c r="AI11" s="26" t="s">
        <v>192</v>
      </c>
      <c r="AJ11" s="26" t="s">
        <v>193</v>
      </c>
      <c r="AK11" s="26" t="s">
        <v>191</v>
      </c>
      <c r="AL11" s="26" t="s">
        <v>192</v>
      </c>
      <c r="AM11" s="26" t="s">
        <v>193</v>
      </c>
      <c r="AN11" s="26" t="s">
        <v>191</v>
      </c>
      <c r="AO11" s="26" t="s">
        <v>192</v>
      </c>
      <c r="AP11" s="26" t="s">
        <v>193</v>
      </c>
      <c r="AQ11" s="26" t="s">
        <v>191</v>
      </c>
      <c r="AR11" s="26" t="s">
        <v>192</v>
      </c>
      <c r="AS11" s="26" t="s">
        <v>193</v>
      </c>
      <c r="AT11" s="26" t="s">
        <v>191</v>
      </c>
      <c r="AU11" s="26" t="s">
        <v>192</v>
      </c>
      <c r="AV11" s="26" t="s">
        <v>193</v>
      </c>
      <c r="AW11" s="26" t="s">
        <v>191</v>
      </c>
      <c r="AX11" s="26" t="s">
        <v>192</v>
      </c>
      <c r="AY11" s="26" t="s">
        <v>191</v>
      </c>
      <c r="AZ11" s="26" t="s">
        <v>192</v>
      </c>
      <c r="BA11" s="26" t="s">
        <v>191</v>
      </c>
      <c r="BB11" s="26" t="s">
        <v>192</v>
      </c>
      <c r="BC11" s="26" t="s">
        <v>193</v>
      </c>
      <c r="BD11" s="26" t="s">
        <v>191</v>
      </c>
      <c r="BE11" s="26" t="s">
        <v>192</v>
      </c>
      <c r="BF11" s="26" t="s">
        <v>191</v>
      </c>
      <c r="BG11" s="26" t="s">
        <v>192</v>
      </c>
      <c r="BH11" s="26" t="s">
        <v>193</v>
      </c>
      <c r="BI11" s="72"/>
      <c r="BJ11" s="72"/>
    </row>
    <row r="12" spans="1:62" ht="37.5" customHeight="1">
      <c r="A12" s="12"/>
      <c r="B12" s="12"/>
      <c r="C12" s="13"/>
      <c r="D12" s="13"/>
      <c r="E12" s="14"/>
      <c r="F12" s="27">
        <v>41941</v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28">
        <f t="shared" ref="BF12:BG12" si="0">SUM(G12,J12,M12,P12,S12,V12,Y12,AB12,AE12,AH12,AK12,AN12,AQ12,AT12,AW12,AY12,BA12,BD12)</f>
        <v>0</v>
      </c>
      <c r="BG12" s="29">
        <f t="shared" si="0"/>
        <v>0</v>
      </c>
      <c r="BH12" s="29">
        <f t="shared" ref="BH12:BH54" si="1">SUM(I12,L12,O12,R12,U12,X12,AA12,AD12,AG12,AJ12,AM12,AP12,AS12,AV12,BC12)</f>
        <v>0</v>
      </c>
      <c r="BI12" s="30">
        <f t="shared" ref="BI12:BI55" si="2">SUM((BF12*$BF$9+BG12*$BG$9+BH12*$BH$9))</f>
        <v>0</v>
      </c>
      <c r="BJ12" s="31">
        <f t="shared" ref="BJ12:BJ55" si="3">(BI12/$BJ$9)*10</f>
        <v>0</v>
      </c>
    </row>
    <row r="13" spans="1:62" ht="37.5" customHeight="1">
      <c r="A13" s="12"/>
      <c r="B13" s="12"/>
      <c r="C13" s="13"/>
      <c r="D13" s="13"/>
      <c r="E13" s="14"/>
      <c r="F13" s="32">
        <v>42224</v>
      </c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28">
        <f t="shared" ref="BF13:BG13" si="4">SUM(G13,J13,M13,P13,S13,V13,Y13,AB13,AE13,AH13,AK13,AN13,AQ13,AT13,AW13,AY13,BA13,BD13)</f>
        <v>0</v>
      </c>
      <c r="BG13" s="29">
        <f t="shared" si="4"/>
        <v>0</v>
      </c>
      <c r="BH13" s="29">
        <f t="shared" si="1"/>
        <v>0</v>
      </c>
      <c r="BI13" s="30">
        <f t="shared" si="2"/>
        <v>0</v>
      </c>
      <c r="BJ13" s="31">
        <f t="shared" si="3"/>
        <v>0</v>
      </c>
    </row>
    <row r="14" spans="1:62" ht="37.5" customHeight="1">
      <c r="A14" s="2"/>
      <c r="B14" s="12"/>
      <c r="C14" s="13"/>
      <c r="D14" s="13"/>
      <c r="E14" s="14"/>
      <c r="F14" s="32">
        <v>41640</v>
      </c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28">
        <f t="shared" ref="BF14:BG14" si="5">SUM(G14,J14,M14,P14,S14,V14,Y14,AB14,AE14,AH14,AK14,AN14,AQ14,AT14,AW14,AY14,BA14,BD14)</f>
        <v>0</v>
      </c>
      <c r="BG14" s="29">
        <f t="shared" si="5"/>
        <v>0</v>
      </c>
      <c r="BH14" s="29">
        <f t="shared" si="1"/>
        <v>0</v>
      </c>
      <c r="BI14" s="30">
        <f t="shared" si="2"/>
        <v>0</v>
      </c>
      <c r="BJ14" s="31">
        <f t="shared" si="3"/>
        <v>0</v>
      </c>
    </row>
    <row r="15" spans="1:62" ht="37.5" customHeight="1">
      <c r="A15" s="12"/>
      <c r="B15" s="12"/>
      <c r="C15" s="13"/>
      <c r="D15" s="13"/>
      <c r="E15" s="14"/>
      <c r="F15" s="32">
        <v>42154</v>
      </c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28">
        <f t="shared" ref="BF15:BG15" si="6">SUM(G15,J15,M15,P15,S15,V15,Y15,AB15,AE15,AH15,AK15,AN15,AQ15,AT15,AW15,AY15,BA15,BD15)</f>
        <v>0</v>
      </c>
      <c r="BG15" s="29">
        <f t="shared" si="6"/>
        <v>0</v>
      </c>
      <c r="BH15" s="29">
        <f t="shared" si="1"/>
        <v>0</v>
      </c>
      <c r="BI15" s="30">
        <f t="shared" si="2"/>
        <v>0</v>
      </c>
      <c r="BJ15" s="31">
        <f t="shared" si="3"/>
        <v>0</v>
      </c>
    </row>
    <row r="16" spans="1:62" ht="37.5" customHeight="1">
      <c r="A16" s="2"/>
      <c r="B16" s="12"/>
      <c r="C16" s="13"/>
      <c r="D16" s="13"/>
      <c r="E16" s="14"/>
      <c r="F16" s="32">
        <v>42269</v>
      </c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28">
        <f t="shared" ref="BF16:BG16" si="7">SUM(G16,J16,M16,P16,S16,V16,Y16,AB16,AE16,AH16,AK16,AN16,AQ16,AT16,AW16,AY16,BA16,BD16)</f>
        <v>0</v>
      </c>
      <c r="BG16" s="29">
        <f t="shared" si="7"/>
        <v>0</v>
      </c>
      <c r="BH16" s="29">
        <f t="shared" si="1"/>
        <v>0</v>
      </c>
      <c r="BI16" s="30">
        <f t="shared" si="2"/>
        <v>0</v>
      </c>
      <c r="BJ16" s="31">
        <f t="shared" si="3"/>
        <v>0</v>
      </c>
    </row>
    <row r="17" spans="1:62" ht="37.5" customHeight="1">
      <c r="A17" s="12"/>
      <c r="B17" s="12"/>
      <c r="C17" s="13"/>
      <c r="D17" s="13"/>
      <c r="E17" s="14"/>
      <c r="F17" s="27">
        <v>42325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28">
        <f t="shared" ref="BF17:BG17" si="8">SUM(G17,J17,M17,P17,S17,V17,Y17,AB17,AE17,AH17,AK17,AN17,AQ17,AT17,AW17,AY17,BA17,BD17)</f>
        <v>0</v>
      </c>
      <c r="BG17" s="29">
        <f t="shared" si="8"/>
        <v>0</v>
      </c>
      <c r="BH17" s="29">
        <f t="shared" si="1"/>
        <v>0</v>
      </c>
      <c r="BI17" s="30">
        <f t="shared" si="2"/>
        <v>0</v>
      </c>
      <c r="BJ17" s="31">
        <f t="shared" si="3"/>
        <v>0</v>
      </c>
    </row>
    <row r="18" spans="1:62" ht="37.5" customHeight="1">
      <c r="A18" s="2"/>
      <c r="B18" s="12"/>
      <c r="C18" s="13"/>
      <c r="D18" s="13"/>
      <c r="E18" s="14"/>
      <c r="F18" s="27">
        <v>41986</v>
      </c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28">
        <f t="shared" ref="BF18:BG18" si="9">SUM(G18,J18,M18,P18,S18,V18,Y18,AB18,AE18,AH18,AK18,AN18,AQ18,AT18,AW18,AY18,BA18,BD18)</f>
        <v>0</v>
      </c>
      <c r="BG18" s="29">
        <f t="shared" si="9"/>
        <v>0</v>
      </c>
      <c r="BH18" s="29">
        <f t="shared" si="1"/>
        <v>0</v>
      </c>
      <c r="BI18" s="30">
        <f t="shared" si="2"/>
        <v>0</v>
      </c>
      <c r="BJ18" s="31">
        <f t="shared" si="3"/>
        <v>0</v>
      </c>
    </row>
    <row r="19" spans="1:62" ht="37.5" customHeight="1">
      <c r="A19" s="12"/>
      <c r="B19" s="12"/>
      <c r="C19" s="13"/>
      <c r="D19" s="13"/>
      <c r="E19" s="14"/>
      <c r="F19" s="32">
        <v>42220</v>
      </c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28">
        <f t="shared" ref="BF19:BG19" si="10">SUM(G19,J19,M19,P19,S19,V19,Y19,AB19,AE19,AH19,AK19,AN19,AQ19,AT19,AW19,AY19,BA19,BD19)</f>
        <v>0</v>
      </c>
      <c r="BG19" s="29">
        <f t="shared" si="10"/>
        <v>0</v>
      </c>
      <c r="BH19" s="29">
        <f t="shared" si="1"/>
        <v>0</v>
      </c>
      <c r="BI19" s="30">
        <f t="shared" si="2"/>
        <v>0</v>
      </c>
      <c r="BJ19" s="31">
        <f t="shared" si="3"/>
        <v>0</v>
      </c>
    </row>
    <row r="20" spans="1:62" ht="37.5" customHeight="1">
      <c r="A20" s="2"/>
      <c r="B20" s="12"/>
      <c r="C20" s="13"/>
      <c r="D20" s="13"/>
      <c r="E20" s="14"/>
      <c r="F20" s="32">
        <v>42347</v>
      </c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28">
        <f t="shared" ref="BF20:BG20" si="11">SUM(G20,J20,M20,P20,S20,V20,Y20,AB20,AE20,AH20,AK20,AN20,AQ20,AT20,AW20,AY20,BA20,BD20)</f>
        <v>0</v>
      </c>
      <c r="BG20" s="29">
        <f t="shared" si="11"/>
        <v>0</v>
      </c>
      <c r="BH20" s="29">
        <f t="shared" si="1"/>
        <v>0</v>
      </c>
      <c r="BI20" s="30">
        <f t="shared" si="2"/>
        <v>0</v>
      </c>
      <c r="BJ20" s="31">
        <f t="shared" si="3"/>
        <v>0</v>
      </c>
    </row>
    <row r="21" spans="1:62" ht="37.5" customHeight="1">
      <c r="A21" s="12"/>
      <c r="B21" s="12"/>
      <c r="C21" s="13"/>
      <c r="D21" s="13"/>
      <c r="E21" s="14"/>
      <c r="F21" s="32">
        <v>42196</v>
      </c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28">
        <f t="shared" ref="BF21:BG21" si="12">SUM(G21,J21,M21,P21,S21,V21,Y21,AB21,AE21,AH21,AK21,AN21,AQ21,AT21,AW21,AY21,BA21,BD21)</f>
        <v>0</v>
      </c>
      <c r="BG21" s="29">
        <f t="shared" si="12"/>
        <v>0</v>
      </c>
      <c r="BH21" s="29">
        <f t="shared" si="1"/>
        <v>0</v>
      </c>
      <c r="BI21" s="30">
        <f t="shared" si="2"/>
        <v>0</v>
      </c>
      <c r="BJ21" s="31">
        <f t="shared" si="3"/>
        <v>0</v>
      </c>
    </row>
    <row r="22" spans="1:62" ht="37.5" customHeight="1">
      <c r="A22" s="2"/>
      <c r="B22" s="12"/>
      <c r="C22" s="13"/>
      <c r="D22" s="13"/>
      <c r="E22" s="14"/>
      <c r="F22" s="32">
        <v>42221</v>
      </c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28">
        <f t="shared" ref="BF22:BG22" si="13">SUM(G22,J22,M22,P22,S22,V22,Y22,AB22,AE22,AH22,AK22,AN22,AQ22,AT22,AW22,AY22,BA22,BD22)</f>
        <v>0</v>
      </c>
      <c r="BG22" s="29">
        <f t="shared" si="13"/>
        <v>0</v>
      </c>
      <c r="BH22" s="29">
        <f t="shared" si="1"/>
        <v>0</v>
      </c>
      <c r="BI22" s="30">
        <f t="shared" si="2"/>
        <v>0</v>
      </c>
      <c r="BJ22" s="31">
        <f t="shared" si="3"/>
        <v>0</v>
      </c>
    </row>
    <row r="23" spans="1:62" ht="37.5" customHeight="1">
      <c r="A23" s="12"/>
      <c r="B23" s="12"/>
      <c r="C23" s="13"/>
      <c r="D23" s="13"/>
      <c r="E23" s="14"/>
      <c r="F23" s="32">
        <v>42011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28">
        <f t="shared" ref="BF23:BG23" si="14">SUM(G23,J23,M23,P23,S23,V23,Y23,AB23,AE23,AH23,AK23,AN23,AQ23,AT23,AW23,AY23,BA23,BD23)</f>
        <v>0</v>
      </c>
      <c r="BG23" s="29">
        <f t="shared" si="14"/>
        <v>0</v>
      </c>
      <c r="BH23" s="29">
        <f t="shared" si="1"/>
        <v>0</v>
      </c>
      <c r="BI23" s="30">
        <f t="shared" si="2"/>
        <v>0</v>
      </c>
      <c r="BJ23" s="31">
        <f t="shared" si="3"/>
        <v>0</v>
      </c>
    </row>
    <row r="24" spans="1:62" ht="37.5" customHeight="1">
      <c r="A24" s="2"/>
      <c r="B24" s="12"/>
      <c r="C24" s="13"/>
      <c r="D24" s="13"/>
      <c r="E24" s="14"/>
      <c r="F24" s="27">
        <v>42290</v>
      </c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28">
        <f t="shared" ref="BF24:BG24" si="15">SUM(G24,J24,M24,P24,S24,V24,Y24,AB24,AE24,AH24,AK24,AN24,AQ24,AT24,AW24,AY24,BA24,BD24)</f>
        <v>0</v>
      </c>
      <c r="BG24" s="29">
        <f t="shared" si="15"/>
        <v>0</v>
      </c>
      <c r="BH24" s="29">
        <f t="shared" si="1"/>
        <v>0</v>
      </c>
      <c r="BI24" s="30">
        <f t="shared" si="2"/>
        <v>0</v>
      </c>
      <c r="BJ24" s="31">
        <f t="shared" si="3"/>
        <v>0</v>
      </c>
    </row>
    <row r="25" spans="1:62" ht="37.5" customHeight="1">
      <c r="A25" s="12"/>
      <c r="B25" s="12"/>
      <c r="C25" s="13"/>
      <c r="D25" s="13"/>
      <c r="E25" s="14"/>
      <c r="F25" s="27">
        <v>41929</v>
      </c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28">
        <f t="shared" ref="BF25:BG25" si="16">SUM(G25,J25,M25,P25,S25,V25,Y25,AB25,AE25,AH25,AK25,AN25,AQ25,AT25,AW25,AY25,BA25,BD25)</f>
        <v>0</v>
      </c>
      <c r="BG25" s="29">
        <f t="shared" si="16"/>
        <v>0</v>
      </c>
      <c r="BH25" s="29">
        <f t="shared" si="1"/>
        <v>0</v>
      </c>
      <c r="BI25" s="30">
        <f t="shared" si="2"/>
        <v>0</v>
      </c>
      <c r="BJ25" s="31">
        <f t="shared" si="3"/>
        <v>0</v>
      </c>
    </row>
    <row r="26" spans="1:62" ht="37.5" customHeight="1">
      <c r="A26" s="2"/>
      <c r="B26" s="12"/>
      <c r="C26" s="13"/>
      <c r="D26" s="13"/>
      <c r="E26" s="14"/>
      <c r="F26" s="32">
        <v>41918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28">
        <f t="shared" ref="BF26:BG26" si="17">SUM(G26,J26,M26,P26,S26,V26,Y26,AB26,AE26,AH26,AK26,AN26,AQ26,AT26,AW26,AY26,BA26,BD26)</f>
        <v>0</v>
      </c>
      <c r="BG26" s="29">
        <f t="shared" si="17"/>
        <v>0</v>
      </c>
      <c r="BH26" s="29">
        <f t="shared" si="1"/>
        <v>0</v>
      </c>
      <c r="BI26" s="30">
        <f t="shared" si="2"/>
        <v>0</v>
      </c>
      <c r="BJ26" s="31">
        <f t="shared" si="3"/>
        <v>0</v>
      </c>
    </row>
    <row r="27" spans="1:62" ht="37.5" customHeight="1">
      <c r="A27" s="12"/>
      <c r="B27" s="12"/>
      <c r="C27" s="13"/>
      <c r="D27" s="13"/>
      <c r="E27" s="14"/>
      <c r="F27" s="32">
        <v>42250</v>
      </c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28">
        <f t="shared" ref="BF27:BG27" si="18">SUM(G27,J27,M27,P27,S27,V27,Y27,AB27,AE27,AH27,AK27,AN27,AQ27,AT27,AW27,AY27,BA27,BD27)</f>
        <v>0</v>
      </c>
      <c r="BG27" s="29">
        <f t="shared" si="18"/>
        <v>0</v>
      </c>
      <c r="BH27" s="29">
        <f t="shared" si="1"/>
        <v>0</v>
      </c>
      <c r="BI27" s="30">
        <f t="shared" si="2"/>
        <v>0</v>
      </c>
      <c r="BJ27" s="31">
        <f t="shared" si="3"/>
        <v>0</v>
      </c>
    </row>
    <row r="28" spans="1:62" ht="37.5" customHeight="1">
      <c r="A28" s="2"/>
      <c r="B28" s="12"/>
      <c r="C28" s="13"/>
      <c r="D28" s="13"/>
      <c r="E28" s="14"/>
      <c r="F28" s="32">
        <v>42100</v>
      </c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28">
        <f t="shared" ref="BF28:BG28" si="19">SUM(G28,J28,M28,P28,S28,V28,Y28,AB28,AE28,AH28,AK28,AN28,AQ28,AT28,AW28,AY28,BA28,BD28)</f>
        <v>0</v>
      </c>
      <c r="BG28" s="29">
        <f t="shared" si="19"/>
        <v>0</v>
      </c>
      <c r="BH28" s="29">
        <f t="shared" si="1"/>
        <v>0</v>
      </c>
      <c r="BI28" s="30">
        <f t="shared" si="2"/>
        <v>0</v>
      </c>
      <c r="BJ28" s="31">
        <f t="shared" si="3"/>
        <v>0</v>
      </c>
    </row>
    <row r="29" spans="1:62" ht="37.5" customHeight="1">
      <c r="A29" s="12"/>
      <c r="B29" s="12"/>
      <c r="C29" s="13"/>
      <c r="D29" s="13"/>
      <c r="E29" s="14"/>
      <c r="F29" s="32">
        <v>42145</v>
      </c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28">
        <f t="shared" ref="BF29:BG29" si="20">SUM(G29,J29,M29,P29,S29,V29,Y29,AB29,AE29,AH29,AK29,AN29,AQ29,AT29,AW29,AY29,BA29,BD29)</f>
        <v>0</v>
      </c>
      <c r="BG29" s="29">
        <f t="shared" si="20"/>
        <v>0</v>
      </c>
      <c r="BH29" s="29">
        <f t="shared" si="1"/>
        <v>0</v>
      </c>
      <c r="BI29" s="30">
        <f t="shared" si="2"/>
        <v>0</v>
      </c>
      <c r="BJ29" s="31">
        <f t="shared" si="3"/>
        <v>0</v>
      </c>
    </row>
    <row r="30" spans="1:62" ht="37.5" customHeight="1">
      <c r="A30" s="2"/>
      <c r="B30" s="12"/>
      <c r="C30" s="13"/>
      <c r="D30" s="13"/>
      <c r="E30" s="14"/>
      <c r="F30" s="27">
        <v>42363</v>
      </c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28">
        <f t="shared" ref="BF30:BG30" si="21">SUM(G30,J30,M30,P30,S30,V30,Y30,AB30,AE30,AH30,AK30,AN30,AQ30,AT30,AW30,AY30,BA30,BD30)</f>
        <v>0</v>
      </c>
      <c r="BG30" s="29">
        <f t="shared" si="21"/>
        <v>0</v>
      </c>
      <c r="BH30" s="29">
        <f t="shared" si="1"/>
        <v>0</v>
      </c>
      <c r="BI30" s="30">
        <f t="shared" si="2"/>
        <v>0</v>
      </c>
      <c r="BJ30" s="31">
        <f t="shared" si="3"/>
        <v>0</v>
      </c>
    </row>
    <row r="31" spans="1:62" ht="37.5" customHeight="1">
      <c r="A31" s="2"/>
      <c r="B31" s="12"/>
      <c r="C31" s="13"/>
      <c r="D31" s="13"/>
      <c r="E31" s="14"/>
      <c r="F31" s="32">
        <v>42085</v>
      </c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28">
        <f t="shared" ref="BF31:BG31" si="22">SUM(G31,J31,M31,P31,S31,V31,Y31,AB31,AE31,AH31,AK31,AN31,AQ31,AT31,AW31,AY31,BA31,BD31)</f>
        <v>0</v>
      </c>
      <c r="BG31" s="29">
        <f t="shared" si="22"/>
        <v>0</v>
      </c>
      <c r="BH31" s="29">
        <f t="shared" si="1"/>
        <v>0</v>
      </c>
      <c r="BI31" s="30">
        <f t="shared" si="2"/>
        <v>0</v>
      </c>
      <c r="BJ31" s="31">
        <f t="shared" si="3"/>
        <v>0</v>
      </c>
    </row>
    <row r="32" spans="1:62" ht="37.5" customHeight="1">
      <c r="A32" s="12"/>
      <c r="B32" s="12"/>
      <c r="C32" s="13"/>
      <c r="D32" s="13"/>
      <c r="E32" s="14"/>
      <c r="F32" s="32">
        <v>41818</v>
      </c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28">
        <f t="shared" ref="BF32:BG32" si="23">SUM(G32,J32,M32,P32,S32,V32,Y32,AB32,AE32,AH32,AK32,AN32,AQ32,AT32,AW32,AY32,BA32,BD32)</f>
        <v>0</v>
      </c>
      <c r="BG32" s="29">
        <f t="shared" si="23"/>
        <v>0</v>
      </c>
      <c r="BH32" s="29">
        <f t="shared" si="1"/>
        <v>0</v>
      </c>
      <c r="BI32" s="30">
        <f t="shared" si="2"/>
        <v>0</v>
      </c>
      <c r="BJ32" s="31">
        <f t="shared" si="3"/>
        <v>0</v>
      </c>
    </row>
    <row r="33" spans="1:62" ht="37.5" customHeight="1">
      <c r="A33" s="2"/>
      <c r="B33" s="12"/>
      <c r="C33" s="13"/>
      <c r="D33" s="13"/>
      <c r="E33" s="14"/>
      <c r="F33" s="27">
        <v>42328</v>
      </c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28">
        <f t="shared" ref="BF33:BG33" si="24">SUM(G33,J33,M33,P33,S33,V33,Y33,AB33,AE33,AH33,AK33,AN33,AQ33,AT33,AW33,AY33,BA33,BD33)</f>
        <v>0</v>
      </c>
      <c r="BG33" s="29">
        <f t="shared" si="24"/>
        <v>0</v>
      </c>
      <c r="BH33" s="29">
        <f t="shared" si="1"/>
        <v>0</v>
      </c>
      <c r="BI33" s="30">
        <f t="shared" si="2"/>
        <v>0</v>
      </c>
      <c r="BJ33" s="31">
        <f t="shared" si="3"/>
        <v>0</v>
      </c>
    </row>
    <row r="34" spans="1:62" ht="37.5" customHeight="1">
      <c r="A34" s="12"/>
      <c r="B34" s="12"/>
      <c r="C34" s="13"/>
      <c r="D34" s="13"/>
      <c r="E34" s="14"/>
      <c r="F34" s="27">
        <v>41994</v>
      </c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28">
        <f t="shared" ref="BF34:BG34" si="25">SUM(G34,J34,M34,P34,S34,V34,Y34,AB34,AE34,AH34,AK34,AN34,AQ34,AT34,AW34,AY34,BA34,BD34)</f>
        <v>0</v>
      </c>
      <c r="BG34" s="29">
        <f t="shared" si="25"/>
        <v>0</v>
      </c>
      <c r="BH34" s="29">
        <f t="shared" si="1"/>
        <v>0</v>
      </c>
      <c r="BI34" s="30">
        <f t="shared" si="2"/>
        <v>0</v>
      </c>
      <c r="BJ34" s="31">
        <f t="shared" si="3"/>
        <v>0</v>
      </c>
    </row>
    <row r="35" spans="1:62" ht="37.5" customHeight="1">
      <c r="A35" s="12"/>
      <c r="B35" s="12"/>
      <c r="C35" s="13"/>
      <c r="D35" s="13"/>
      <c r="E35" s="14"/>
      <c r="F35" s="27">
        <v>41999</v>
      </c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28">
        <f t="shared" ref="BF35:BG35" si="26">SUM(G35,J35,M35,P35,S35,V35,Y35,AB35,AE35,AH35,AK35,AN35,AQ35,AT35,AW35,AY35,BA35,BD35)</f>
        <v>0</v>
      </c>
      <c r="BG35" s="29">
        <f t="shared" si="26"/>
        <v>0</v>
      </c>
      <c r="BH35" s="29">
        <f t="shared" si="1"/>
        <v>0</v>
      </c>
      <c r="BI35" s="30">
        <f t="shared" si="2"/>
        <v>0</v>
      </c>
      <c r="BJ35" s="31">
        <f t="shared" si="3"/>
        <v>0</v>
      </c>
    </row>
    <row r="36" spans="1:62" ht="37.5" customHeight="1">
      <c r="A36" s="2"/>
      <c r="B36" s="12"/>
      <c r="C36" s="13"/>
      <c r="D36" s="13"/>
      <c r="E36" s="14"/>
      <c r="F36" s="32">
        <v>41780</v>
      </c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28">
        <f t="shared" ref="BF36:BG36" si="27">SUM(G36,J36,M36,P36,S36,V36,Y36,AB36,AE36,AH36,AK36,AN36,AQ36,AT36,AW36,AY36,BA36,BD36)</f>
        <v>0</v>
      </c>
      <c r="BG36" s="29">
        <f t="shared" si="27"/>
        <v>0</v>
      </c>
      <c r="BH36" s="29">
        <f t="shared" si="1"/>
        <v>0</v>
      </c>
      <c r="BI36" s="30">
        <f t="shared" si="2"/>
        <v>0</v>
      </c>
      <c r="BJ36" s="31">
        <f t="shared" si="3"/>
        <v>0</v>
      </c>
    </row>
    <row r="37" spans="1:62" ht="37.5" customHeight="1">
      <c r="A37" s="12"/>
      <c r="B37" s="12"/>
      <c r="C37" s="13"/>
      <c r="D37" s="13"/>
      <c r="E37" s="14"/>
      <c r="F37" s="27">
        <v>42354</v>
      </c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28">
        <f t="shared" ref="BF37:BG37" si="28">SUM(G37,J37,M37,P37,S37,V37,Y37,AB37,AE37,AH37,AK37,AN37,AQ37,AT37,AW37,AY37,BA37,BD37)</f>
        <v>0</v>
      </c>
      <c r="BG37" s="29">
        <f t="shared" si="28"/>
        <v>0</v>
      </c>
      <c r="BH37" s="29">
        <f t="shared" si="1"/>
        <v>0</v>
      </c>
      <c r="BI37" s="30">
        <f t="shared" si="2"/>
        <v>0</v>
      </c>
      <c r="BJ37" s="31">
        <f t="shared" si="3"/>
        <v>0</v>
      </c>
    </row>
    <row r="38" spans="1:62" ht="37.5" customHeight="1">
      <c r="A38" s="2"/>
      <c r="B38" s="12"/>
      <c r="C38" s="13"/>
      <c r="D38" s="13"/>
      <c r="E38" s="14"/>
      <c r="F38" s="32">
        <v>42098</v>
      </c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28">
        <f t="shared" ref="BF38:BG38" si="29">SUM(G38,J38,M38,P38,S38,V38,Y38,AB38,AE38,AH38,AK38,AN38,AQ38,AT38,AW38,AY38,BA38,BD38)</f>
        <v>0</v>
      </c>
      <c r="BG38" s="29">
        <f t="shared" si="29"/>
        <v>0</v>
      </c>
      <c r="BH38" s="29">
        <f t="shared" si="1"/>
        <v>0</v>
      </c>
      <c r="BI38" s="30">
        <f t="shared" si="2"/>
        <v>0</v>
      </c>
      <c r="BJ38" s="31">
        <f t="shared" si="3"/>
        <v>0</v>
      </c>
    </row>
    <row r="39" spans="1:62" ht="37.5" customHeight="1">
      <c r="A39" s="12"/>
      <c r="B39" s="12"/>
      <c r="C39" s="13"/>
      <c r="D39" s="13"/>
      <c r="E39" s="14"/>
      <c r="F39" s="32">
        <v>42223</v>
      </c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28">
        <f t="shared" ref="BF39:BG39" si="30">SUM(G39,J39,M39,P39,S39,V39,Y39,AB39,AE39,AH39,AK39,AN39,AQ39,AT39,AW39,AY39,BA39,BD39)</f>
        <v>0</v>
      </c>
      <c r="BG39" s="29">
        <f t="shared" si="30"/>
        <v>0</v>
      </c>
      <c r="BH39" s="29">
        <f t="shared" si="1"/>
        <v>0</v>
      </c>
      <c r="BI39" s="30">
        <f t="shared" si="2"/>
        <v>0</v>
      </c>
      <c r="BJ39" s="31">
        <f t="shared" si="3"/>
        <v>0</v>
      </c>
    </row>
    <row r="40" spans="1:62" ht="37.5" customHeight="1">
      <c r="A40" s="2"/>
      <c r="B40" s="12"/>
      <c r="C40" s="13"/>
      <c r="D40" s="13"/>
      <c r="E40" s="14"/>
      <c r="F40" s="32">
        <v>42282</v>
      </c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28">
        <f t="shared" ref="BF40:BG40" si="31">SUM(G40,J40,M40,P40,S40,V40,Y40,AB40,AE40,AH40,AK40,AN40,AQ40,AT40,AW40,AY40,BA40,BD40)</f>
        <v>0</v>
      </c>
      <c r="BG40" s="29">
        <f t="shared" si="31"/>
        <v>0</v>
      </c>
      <c r="BH40" s="29">
        <f t="shared" si="1"/>
        <v>0</v>
      </c>
      <c r="BI40" s="30">
        <f t="shared" si="2"/>
        <v>0</v>
      </c>
      <c r="BJ40" s="31">
        <f t="shared" si="3"/>
        <v>0</v>
      </c>
    </row>
    <row r="41" spans="1:62" ht="37.5" customHeight="1">
      <c r="A41" s="12"/>
      <c r="B41" s="12"/>
      <c r="C41" s="13"/>
      <c r="D41" s="13"/>
      <c r="E41" s="14"/>
      <c r="F41" s="32">
        <v>42142</v>
      </c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28">
        <f t="shared" ref="BF41:BG41" si="32">SUM(G41,J41,M41,P41,S41,V41,Y41,AB41,AE41,AH41,AK41,AN41,AQ41,AT41,AW41,AY41,BA41,BD41)</f>
        <v>0</v>
      </c>
      <c r="BG41" s="29">
        <f t="shared" si="32"/>
        <v>0</v>
      </c>
      <c r="BH41" s="29">
        <f t="shared" si="1"/>
        <v>0</v>
      </c>
      <c r="BI41" s="30">
        <f t="shared" si="2"/>
        <v>0</v>
      </c>
      <c r="BJ41" s="31">
        <f t="shared" si="3"/>
        <v>0</v>
      </c>
    </row>
    <row r="42" spans="1:62" ht="37.5" customHeight="1">
      <c r="A42" s="2"/>
      <c r="B42" s="12"/>
      <c r="C42" s="13"/>
      <c r="D42" s="13"/>
      <c r="E42" s="14"/>
      <c r="F42" s="32">
        <v>42193</v>
      </c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28">
        <f t="shared" ref="BF42:BG42" si="33">SUM(G42,J42,M42,P42,S42,V42,Y42,AB42,AE42,AH42,AK42,AN42,AQ42,AT42,AW42,AY42,BA42,BD42)</f>
        <v>0</v>
      </c>
      <c r="BG42" s="29">
        <f t="shared" si="33"/>
        <v>0</v>
      </c>
      <c r="BH42" s="29">
        <f t="shared" si="1"/>
        <v>0</v>
      </c>
      <c r="BI42" s="30">
        <f t="shared" si="2"/>
        <v>0</v>
      </c>
      <c r="BJ42" s="31">
        <f t="shared" si="3"/>
        <v>0</v>
      </c>
    </row>
    <row r="43" spans="1:62" ht="37.5" customHeight="1">
      <c r="A43" s="12"/>
      <c r="B43" s="12"/>
      <c r="C43" s="13"/>
      <c r="D43" s="13"/>
      <c r="E43" s="14"/>
      <c r="F43" s="32">
        <v>42042</v>
      </c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28">
        <f t="shared" ref="BF43:BG43" si="34">SUM(G43,J43,M43,P43,S43,V43,Y43,AB43,AE43,AH43,AK43,AN43,AQ43,AT43,AW43,AY43,BA43,BD43)</f>
        <v>0</v>
      </c>
      <c r="BG43" s="29">
        <f t="shared" si="34"/>
        <v>0</v>
      </c>
      <c r="BH43" s="29">
        <f t="shared" si="1"/>
        <v>0</v>
      </c>
      <c r="BI43" s="30">
        <f t="shared" si="2"/>
        <v>0</v>
      </c>
      <c r="BJ43" s="31">
        <f t="shared" si="3"/>
        <v>0</v>
      </c>
    </row>
    <row r="44" spans="1:62" ht="37.5" customHeight="1">
      <c r="A44" s="2"/>
      <c r="B44" s="12"/>
      <c r="C44" s="13"/>
      <c r="D44" s="13"/>
      <c r="E44" s="14"/>
      <c r="F44" s="27">
        <v>42328</v>
      </c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28">
        <f t="shared" ref="BF44:BG44" si="35">SUM(G44,J44,M44,P44,S44,V44,Y44,AB44,AE44,AH44,AK44,AN44,AQ44,AT44,AW44,AY44,BA44,BD44)</f>
        <v>0</v>
      </c>
      <c r="BG44" s="29">
        <f t="shared" si="35"/>
        <v>0</v>
      </c>
      <c r="BH44" s="29">
        <f t="shared" si="1"/>
        <v>0</v>
      </c>
      <c r="BI44" s="30">
        <f t="shared" si="2"/>
        <v>0</v>
      </c>
      <c r="BJ44" s="31">
        <f t="shared" si="3"/>
        <v>0</v>
      </c>
    </row>
    <row r="45" spans="1:62" ht="37.5" customHeight="1">
      <c r="A45" s="12"/>
      <c r="B45" s="12"/>
      <c r="C45" s="13"/>
      <c r="D45" s="13"/>
      <c r="E45" s="14"/>
      <c r="F45" s="32">
        <v>42079</v>
      </c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28">
        <f t="shared" ref="BF45:BG45" si="36">SUM(G45,J45,M45,P45,S45,V45,Y45,AB45,AE45,AH45,AK45,AN45,AQ45,AT45,AW45,AY45,BA45,BD45)</f>
        <v>0</v>
      </c>
      <c r="BG45" s="29">
        <f t="shared" si="36"/>
        <v>0</v>
      </c>
      <c r="BH45" s="29">
        <f t="shared" si="1"/>
        <v>0</v>
      </c>
      <c r="BI45" s="30">
        <f t="shared" si="2"/>
        <v>0</v>
      </c>
      <c r="BJ45" s="31">
        <f t="shared" si="3"/>
        <v>0</v>
      </c>
    </row>
    <row r="46" spans="1:62" ht="37.5" customHeight="1">
      <c r="A46" s="2"/>
      <c r="B46" s="12"/>
      <c r="C46" s="13"/>
      <c r="D46" s="13"/>
      <c r="E46" s="14"/>
      <c r="F46" s="32">
        <v>42180</v>
      </c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28">
        <f t="shared" ref="BF46:BG46" si="37">SUM(G46,J46,M46,P46,S46,V46,Y46,AB46,AE46,AH46,AK46,AN46,AQ46,AT46,AW46,AY46,BA46,BD46)</f>
        <v>0</v>
      </c>
      <c r="BG46" s="29">
        <f t="shared" si="37"/>
        <v>0</v>
      </c>
      <c r="BH46" s="29">
        <f t="shared" si="1"/>
        <v>0</v>
      </c>
      <c r="BI46" s="30">
        <f t="shared" si="2"/>
        <v>0</v>
      </c>
      <c r="BJ46" s="31">
        <f t="shared" si="3"/>
        <v>0</v>
      </c>
    </row>
    <row r="47" spans="1:62" ht="37.5" customHeight="1">
      <c r="A47" s="12"/>
      <c r="B47" s="12"/>
      <c r="C47" s="13"/>
      <c r="D47" s="13"/>
      <c r="E47" s="14"/>
      <c r="F47" s="32">
        <v>41700</v>
      </c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28">
        <f t="shared" ref="BF47:BG47" si="38">SUM(G47,J47,M47,P47,S47,V47,Y47,AB47,AE47,AH47,AK47,AN47,AQ47,AT47,AW47,AY47,BA47,BD47)</f>
        <v>0</v>
      </c>
      <c r="BG47" s="29">
        <f t="shared" si="38"/>
        <v>0</v>
      </c>
      <c r="BH47" s="29">
        <f t="shared" si="1"/>
        <v>0</v>
      </c>
      <c r="BI47" s="30">
        <f t="shared" si="2"/>
        <v>0</v>
      </c>
      <c r="BJ47" s="31">
        <f t="shared" si="3"/>
        <v>0</v>
      </c>
    </row>
    <row r="48" spans="1:62" ht="37.5" customHeight="1">
      <c r="A48" s="12"/>
      <c r="B48" s="12"/>
      <c r="C48" s="13"/>
      <c r="D48" s="13"/>
      <c r="E48" s="14"/>
      <c r="F48" s="32">
        <v>42099</v>
      </c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28">
        <f t="shared" ref="BF48:BG48" si="39">SUM(G48,J48,M48,P48,S48,V48,Y48,AB48,AE48,AH48,AK48,AN48,AQ48,AT48,AW48,AY48,BA48,BD48)</f>
        <v>0</v>
      </c>
      <c r="BG48" s="29">
        <f t="shared" si="39"/>
        <v>0</v>
      </c>
      <c r="BH48" s="29">
        <f t="shared" si="1"/>
        <v>0</v>
      </c>
      <c r="BI48" s="30">
        <f t="shared" si="2"/>
        <v>0</v>
      </c>
      <c r="BJ48" s="31">
        <f t="shared" si="3"/>
        <v>0</v>
      </c>
    </row>
    <row r="49" spans="1:62" ht="37.5" customHeight="1">
      <c r="A49" s="12"/>
      <c r="B49" s="12"/>
      <c r="C49" s="13"/>
      <c r="D49" s="13"/>
      <c r="E49" s="14"/>
      <c r="F49" s="32">
        <v>41826</v>
      </c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28">
        <f t="shared" ref="BF49:BG49" si="40">SUM(G49,J49,M49,P49,S49,V49,Y49,AB49,AE49,AH49,AK49,AN49,AQ49,AT49,AW49,AY49,BA49,BD49)</f>
        <v>0</v>
      </c>
      <c r="BG49" s="29">
        <f t="shared" si="40"/>
        <v>0</v>
      </c>
      <c r="BH49" s="29">
        <f t="shared" si="1"/>
        <v>0</v>
      </c>
      <c r="BI49" s="30">
        <f t="shared" si="2"/>
        <v>0</v>
      </c>
      <c r="BJ49" s="31">
        <f t="shared" si="3"/>
        <v>0</v>
      </c>
    </row>
    <row r="50" spans="1:62" ht="37.5" customHeight="1">
      <c r="A50" s="2"/>
      <c r="B50" s="12"/>
      <c r="C50" s="13"/>
      <c r="D50" s="13"/>
      <c r="E50" s="14"/>
      <c r="F50" s="32">
        <v>42185</v>
      </c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28">
        <f t="shared" ref="BF50:BG50" si="41">SUM(G50,J50,M50,P50,S50,V50,Y50,AB50,AE50,AH50,AK50,AN50,AQ50,AT50,AW50,AY50,BA50,BD50)</f>
        <v>0</v>
      </c>
      <c r="BG50" s="29">
        <f t="shared" si="41"/>
        <v>0</v>
      </c>
      <c r="BH50" s="29">
        <f t="shared" si="1"/>
        <v>0</v>
      </c>
      <c r="BI50" s="30">
        <f t="shared" si="2"/>
        <v>0</v>
      </c>
      <c r="BJ50" s="31">
        <f t="shared" si="3"/>
        <v>0</v>
      </c>
    </row>
    <row r="51" spans="1:62" ht="37.5" customHeight="1">
      <c r="A51" s="12"/>
      <c r="B51" s="12"/>
      <c r="C51" s="13"/>
      <c r="D51" s="13"/>
      <c r="E51" s="14"/>
      <c r="F51" s="32">
        <v>42254</v>
      </c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28">
        <f t="shared" ref="BF51:BG51" si="42">SUM(G51,J51,M51,P51,S51,V51,Y51,AB51,AE51,AH51,AK51,AN51,AQ51,AT51,AW51,AY51,BA51,BD51)</f>
        <v>0</v>
      </c>
      <c r="BG51" s="29">
        <f t="shared" si="42"/>
        <v>0</v>
      </c>
      <c r="BH51" s="29">
        <f t="shared" si="1"/>
        <v>0</v>
      </c>
      <c r="BI51" s="30">
        <f t="shared" si="2"/>
        <v>0</v>
      </c>
      <c r="BJ51" s="31">
        <f t="shared" si="3"/>
        <v>0</v>
      </c>
    </row>
    <row r="52" spans="1:62" ht="37.5" customHeight="1">
      <c r="A52" s="2"/>
      <c r="B52" s="12"/>
      <c r="C52" s="13"/>
      <c r="D52" s="13"/>
      <c r="E52" s="14"/>
      <c r="F52" s="32">
        <v>42273</v>
      </c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28">
        <f t="shared" ref="BF52:BG52" si="43">SUM(G52,J52,M52,P52,S52,V52,Y52,AB52,AE52,AH52,AK52,AN52,AQ52,AT52,AW52,AY52,BA52,BD52)</f>
        <v>0</v>
      </c>
      <c r="BG52" s="29">
        <f t="shared" si="43"/>
        <v>0</v>
      </c>
      <c r="BH52" s="29">
        <f t="shared" si="1"/>
        <v>0</v>
      </c>
      <c r="BI52" s="30">
        <f t="shared" si="2"/>
        <v>0</v>
      </c>
      <c r="BJ52" s="31">
        <f t="shared" si="3"/>
        <v>0</v>
      </c>
    </row>
    <row r="53" spans="1:62" ht="37.5" customHeight="1">
      <c r="A53" s="12"/>
      <c r="B53" s="12"/>
      <c r="C53" s="13"/>
      <c r="D53" s="13"/>
      <c r="E53" s="14"/>
      <c r="F53" s="32">
        <v>42044</v>
      </c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28">
        <f t="shared" ref="BF53:BG53" si="44">SUM(G53,J53,M53,P53,S53,V53,Y53,AB53,AE53,AH53,AK53,AN53,AQ53,AT53,AW53,AY53,BA53,BD53)</f>
        <v>0</v>
      </c>
      <c r="BG53" s="29">
        <f t="shared" si="44"/>
        <v>0</v>
      </c>
      <c r="BH53" s="29">
        <f t="shared" si="1"/>
        <v>0</v>
      </c>
      <c r="BI53" s="30">
        <f t="shared" si="2"/>
        <v>0</v>
      </c>
      <c r="BJ53" s="31">
        <f t="shared" si="3"/>
        <v>0</v>
      </c>
    </row>
    <row r="54" spans="1:62" ht="37.5" customHeight="1">
      <c r="A54" s="2"/>
      <c r="B54" s="17"/>
      <c r="C54" s="13"/>
      <c r="D54" s="13"/>
      <c r="E54" s="13"/>
      <c r="F54" s="33">
        <v>42113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28">
        <f t="shared" ref="BF54:BG54" si="45">SUM(G54,J54,M54,P54,S54,V54,Y54,AB54,AE54,AH54,AK54,AN54,AQ54,AT54,AW54,AY54,BA54,BD54)</f>
        <v>0</v>
      </c>
      <c r="BG54" s="29">
        <f t="shared" si="45"/>
        <v>0</v>
      </c>
      <c r="BH54" s="29">
        <f t="shared" si="1"/>
        <v>0</v>
      </c>
      <c r="BI54" s="30">
        <f t="shared" si="2"/>
        <v>0</v>
      </c>
      <c r="BJ54" s="31">
        <f t="shared" si="3"/>
        <v>0</v>
      </c>
    </row>
    <row r="55" spans="1:62" ht="37.5" customHeight="1">
      <c r="A55" s="2"/>
      <c r="B55" s="12"/>
      <c r="C55" s="13"/>
      <c r="D55" s="13"/>
      <c r="E55" s="13"/>
      <c r="F55" s="33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28">
        <f t="shared" ref="BF55" si="46">SUM(G55,J55,M55,P55,S55,V55,Y55,AB55,AE55,AH55,AK55,AN55,AQ55,AT55,AW55,AY55,BA55,BD55)</f>
        <v>0</v>
      </c>
      <c r="BG55" s="29">
        <f t="shared" ref="BG55" si="47">SUM(H55,K55,N55,Q55,T55,W55,Z55,AC55,AF55,AI55,AL55,AO55,AR55,AU55,AX55,AZ55,BB55,BE55)</f>
        <v>0</v>
      </c>
      <c r="BH55" s="29">
        <f t="shared" ref="BH55" si="48">SUM(I55,L55,O55,R55,U55,X55,AA55,AD55,AG55,AJ55,AM55,AP55,AS55,AV55,BC55)</f>
        <v>0</v>
      </c>
      <c r="BI55" s="30">
        <f t="shared" si="2"/>
        <v>0</v>
      </c>
      <c r="BJ55" s="31">
        <f t="shared" si="3"/>
        <v>0</v>
      </c>
    </row>
    <row r="56" spans="1:62" ht="37.5" customHeight="1">
      <c r="A56" s="12"/>
      <c r="B56" s="17"/>
      <c r="C56" s="13"/>
      <c r="D56" s="13"/>
      <c r="E56" s="13"/>
      <c r="F56" s="33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34"/>
      <c r="BG56" s="35"/>
      <c r="BH56" s="35"/>
      <c r="BI56" s="30"/>
      <c r="BJ56" s="31"/>
    </row>
    <row r="57" spans="1:62" ht="37.5" customHeight="1">
      <c r="A57" s="12"/>
      <c r="B57" s="17"/>
      <c r="C57" s="13"/>
      <c r="D57" s="13"/>
      <c r="E57" s="13"/>
      <c r="F57" s="33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34"/>
      <c r="BG57" s="35"/>
      <c r="BH57" s="35"/>
      <c r="BI57" s="30"/>
      <c r="BJ57" s="31"/>
    </row>
    <row r="58" spans="1:62" ht="37.5" customHeight="1">
      <c r="A58" s="12"/>
      <c r="B58" s="17"/>
      <c r="C58" s="13"/>
      <c r="D58" s="13"/>
      <c r="E58" s="13"/>
      <c r="F58" s="33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34"/>
      <c r="BG58" s="35"/>
      <c r="BH58" s="35"/>
      <c r="BI58" s="30"/>
      <c r="BJ58" s="31"/>
    </row>
    <row r="59" spans="1:62" ht="37.5" customHeight="1">
      <c r="A59" s="12"/>
      <c r="B59" s="17"/>
      <c r="C59" s="13"/>
      <c r="D59" s="13"/>
      <c r="E59" s="13"/>
      <c r="F59" s="33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34"/>
      <c r="BG59" s="35"/>
      <c r="BH59" s="35"/>
      <c r="BI59" s="30"/>
      <c r="BJ59" s="31"/>
    </row>
    <row r="60" spans="1:62" ht="15.75" customHeight="1">
      <c r="A60" s="2" t="str">
        <f t="shared" ref="A60:A98" si="49">IF(E60="","",COUNTA($E$12:E60))</f>
        <v/>
      </c>
      <c r="B60" s="3"/>
      <c r="C60" s="3"/>
      <c r="D60" s="3"/>
      <c r="E60" s="3"/>
      <c r="F60" s="3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0"/>
      <c r="BI60" s="21"/>
      <c r="BJ60" s="21"/>
    </row>
    <row r="61" spans="1:62" ht="15.75" customHeight="1">
      <c r="A61" s="12" t="str">
        <f t="shared" si="49"/>
        <v/>
      </c>
      <c r="B61" s="3"/>
      <c r="C61" s="3"/>
      <c r="D61" s="3"/>
      <c r="E61" s="3"/>
      <c r="F61" s="3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0"/>
      <c r="BI61" s="21"/>
      <c r="BJ61" s="21"/>
    </row>
    <row r="62" spans="1:62" ht="15.75" customHeight="1">
      <c r="A62" s="2" t="str">
        <f t="shared" si="49"/>
        <v/>
      </c>
      <c r="B62" s="3"/>
      <c r="C62" s="3"/>
      <c r="D62" s="3"/>
      <c r="E62" s="3"/>
      <c r="F62" s="3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0"/>
      <c r="BI62" s="21"/>
      <c r="BJ62" s="21"/>
    </row>
    <row r="63" spans="1:62" ht="15.75" customHeight="1">
      <c r="A63" s="12" t="str">
        <f t="shared" si="49"/>
        <v/>
      </c>
      <c r="B63" s="3"/>
      <c r="C63" s="3"/>
      <c r="D63" s="3"/>
      <c r="E63" s="3"/>
      <c r="F63" s="3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0"/>
      <c r="BI63" s="21"/>
      <c r="BJ63" s="21"/>
    </row>
    <row r="64" spans="1:62" ht="15.75" customHeight="1">
      <c r="A64" s="2" t="str">
        <f t="shared" si="49"/>
        <v/>
      </c>
      <c r="B64" s="3"/>
      <c r="C64" s="3"/>
      <c r="D64" s="3"/>
      <c r="E64" s="3"/>
      <c r="F64" s="3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0"/>
      <c r="BI64" s="21"/>
      <c r="BJ64" s="21"/>
    </row>
    <row r="65" spans="1:62" ht="15.75" customHeight="1">
      <c r="A65" s="12" t="str">
        <f t="shared" si="49"/>
        <v/>
      </c>
      <c r="B65" s="3"/>
      <c r="C65" s="3"/>
      <c r="D65" s="3"/>
      <c r="E65" s="3"/>
      <c r="F65" s="3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0"/>
      <c r="BI65" s="21"/>
      <c r="BJ65" s="21"/>
    </row>
    <row r="66" spans="1:62" ht="15.75" customHeight="1">
      <c r="A66" s="2" t="str">
        <f t="shared" si="49"/>
        <v/>
      </c>
      <c r="B66" s="3"/>
      <c r="C66" s="3"/>
      <c r="D66" s="3"/>
      <c r="E66" s="3"/>
      <c r="F66" s="3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0"/>
      <c r="BI66" s="21"/>
      <c r="BJ66" s="21"/>
    </row>
    <row r="67" spans="1:62" ht="15.75" customHeight="1">
      <c r="A67" s="12" t="str">
        <f t="shared" si="49"/>
        <v/>
      </c>
      <c r="B67" s="3"/>
      <c r="C67" s="3"/>
      <c r="D67" s="3"/>
      <c r="E67" s="3"/>
      <c r="F67" s="3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0"/>
      <c r="BI67" s="21"/>
      <c r="BJ67" s="21"/>
    </row>
    <row r="68" spans="1:62" ht="15.75" customHeight="1">
      <c r="A68" s="2" t="str">
        <f t="shared" si="49"/>
        <v/>
      </c>
      <c r="B68" s="3"/>
      <c r="C68" s="3"/>
      <c r="D68" s="3"/>
      <c r="E68" s="3"/>
      <c r="F68" s="3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0"/>
      <c r="BI68" s="21"/>
      <c r="BJ68" s="21"/>
    </row>
    <row r="69" spans="1:62" ht="15.75" customHeight="1">
      <c r="A69" s="12" t="str">
        <f t="shared" si="49"/>
        <v/>
      </c>
      <c r="B69" s="3"/>
      <c r="C69" s="3"/>
      <c r="D69" s="3"/>
      <c r="E69" s="3"/>
      <c r="F69" s="3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0"/>
      <c r="BI69" s="21"/>
      <c r="BJ69" s="21"/>
    </row>
    <row r="70" spans="1:62" ht="15.75" customHeight="1">
      <c r="A70" s="2" t="str">
        <f t="shared" si="49"/>
        <v/>
      </c>
      <c r="B70" s="3"/>
      <c r="C70" s="3"/>
      <c r="D70" s="3"/>
      <c r="E70" s="3"/>
      <c r="F70" s="3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0"/>
      <c r="BI70" s="21"/>
      <c r="BJ70" s="21"/>
    </row>
    <row r="71" spans="1:62" ht="15.75" customHeight="1">
      <c r="A71" s="12" t="str">
        <f t="shared" si="49"/>
        <v/>
      </c>
      <c r="B71" s="3"/>
      <c r="C71" s="3"/>
      <c r="D71" s="3"/>
      <c r="E71" s="3"/>
      <c r="F71" s="3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0"/>
      <c r="BI71" s="21"/>
      <c r="BJ71" s="21"/>
    </row>
    <row r="72" spans="1:62" ht="15.75" customHeight="1">
      <c r="A72" s="2" t="str">
        <f t="shared" si="49"/>
        <v/>
      </c>
      <c r="B72" s="3"/>
      <c r="C72" s="3"/>
      <c r="D72" s="3"/>
      <c r="E72" s="3"/>
      <c r="F72" s="3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1"/>
      <c r="BJ72" s="21"/>
    </row>
    <row r="73" spans="1:62" ht="15.75" customHeight="1">
      <c r="A73" s="12" t="str">
        <f t="shared" si="49"/>
        <v/>
      </c>
      <c r="B73" s="3"/>
      <c r="C73" s="3"/>
      <c r="D73" s="3"/>
      <c r="E73" s="3"/>
      <c r="F73" s="3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1"/>
      <c r="BJ73" s="21"/>
    </row>
    <row r="74" spans="1:62" ht="15.75" customHeight="1">
      <c r="A74" s="2" t="str">
        <f t="shared" si="49"/>
        <v/>
      </c>
      <c r="B74" s="3"/>
      <c r="C74" s="3"/>
      <c r="D74" s="3"/>
      <c r="E74" s="3"/>
      <c r="F74" s="3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1"/>
      <c r="BJ74" s="21"/>
    </row>
    <row r="75" spans="1:62" ht="15.75" customHeight="1">
      <c r="A75" s="12" t="str">
        <f t="shared" si="49"/>
        <v/>
      </c>
      <c r="B75" s="3"/>
      <c r="C75" s="3"/>
      <c r="D75" s="3"/>
      <c r="E75" s="3"/>
      <c r="F75" s="3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1"/>
      <c r="BJ75" s="21"/>
    </row>
    <row r="76" spans="1:62" ht="15.75" customHeight="1">
      <c r="A76" s="2" t="str">
        <f t="shared" si="49"/>
        <v/>
      </c>
      <c r="B76" s="3"/>
      <c r="C76" s="3"/>
      <c r="D76" s="3"/>
      <c r="E76" s="3"/>
      <c r="F76" s="3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0"/>
      <c r="BI76" s="21"/>
      <c r="BJ76" s="21"/>
    </row>
    <row r="77" spans="1:62" ht="15.75" customHeight="1">
      <c r="A77" s="12" t="str">
        <f t="shared" si="49"/>
        <v/>
      </c>
      <c r="B77" s="3"/>
      <c r="C77" s="3"/>
      <c r="D77" s="3"/>
      <c r="E77" s="3"/>
      <c r="F77" s="3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0"/>
      <c r="BI77" s="21"/>
      <c r="BJ77" s="21"/>
    </row>
    <row r="78" spans="1:62" ht="15.75" customHeight="1">
      <c r="A78" s="2" t="str">
        <f t="shared" si="49"/>
        <v/>
      </c>
      <c r="B78" s="3"/>
      <c r="C78" s="3"/>
      <c r="D78" s="3"/>
      <c r="E78" s="3"/>
      <c r="F78" s="3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0"/>
      <c r="BI78" s="21"/>
      <c r="BJ78" s="21"/>
    </row>
    <row r="79" spans="1:62" ht="15.75" customHeight="1">
      <c r="A79" s="12" t="str">
        <f t="shared" si="49"/>
        <v/>
      </c>
      <c r="B79" s="3"/>
      <c r="C79" s="3"/>
      <c r="D79" s="3"/>
      <c r="E79" s="3"/>
      <c r="F79" s="3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0"/>
      <c r="BI79" s="21"/>
      <c r="BJ79" s="21"/>
    </row>
    <row r="80" spans="1:62" ht="15.75" customHeight="1">
      <c r="A80" s="2" t="str">
        <f t="shared" si="49"/>
        <v/>
      </c>
      <c r="B80" s="3"/>
      <c r="C80" s="3"/>
      <c r="D80" s="3"/>
      <c r="E80" s="3"/>
      <c r="F80" s="3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0"/>
      <c r="BI80" s="21"/>
      <c r="BJ80" s="21"/>
    </row>
    <row r="81" spans="1:62" ht="15.75" customHeight="1">
      <c r="A81" s="12" t="str">
        <f t="shared" si="49"/>
        <v/>
      </c>
      <c r="B81" s="3"/>
      <c r="C81" s="3"/>
      <c r="D81" s="3"/>
      <c r="E81" s="3"/>
      <c r="F81" s="3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0"/>
      <c r="BI81" s="21"/>
      <c r="BJ81" s="21"/>
    </row>
    <row r="82" spans="1:62" ht="15.75" customHeight="1">
      <c r="A82" s="2" t="str">
        <f t="shared" si="49"/>
        <v/>
      </c>
      <c r="B82" s="3"/>
      <c r="C82" s="3"/>
      <c r="D82" s="3"/>
      <c r="E82" s="3"/>
      <c r="F82" s="3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0"/>
      <c r="BI82" s="21"/>
      <c r="BJ82" s="21"/>
    </row>
    <row r="83" spans="1:62" ht="15.75" customHeight="1">
      <c r="A83" s="12" t="str">
        <f t="shared" si="49"/>
        <v/>
      </c>
      <c r="B83" s="3"/>
      <c r="C83" s="3"/>
      <c r="D83" s="3"/>
      <c r="E83" s="3"/>
      <c r="F83" s="3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0"/>
      <c r="BI83" s="21"/>
      <c r="BJ83" s="21"/>
    </row>
    <row r="84" spans="1:62" ht="15.75" customHeight="1">
      <c r="A84" s="2" t="str">
        <f t="shared" si="49"/>
        <v/>
      </c>
      <c r="B84" s="3"/>
      <c r="C84" s="3"/>
      <c r="D84" s="3"/>
      <c r="E84" s="3"/>
      <c r="F84" s="3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0"/>
      <c r="BI84" s="21"/>
      <c r="BJ84" s="21"/>
    </row>
    <row r="85" spans="1:62" ht="15.75" customHeight="1">
      <c r="A85" s="12" t="str">
        <f t="shared" si="49"/>
        <v/>
      </c>
      <c r="B85" s="3"/>
      <c r="C85" s="3"/>
      <c r="D85" s="3"/>
      <c r="E85" s="3"/>
      <c r="F85" s="3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0"/>
      <c r="BI85" s="21"/>
      <c r="BJ85" s="21"/>
    </row>
    <row r="86" spans="1:62" ht="15.75" customHeight="1">
      <c r="A86" s="2" t="str">
        <f t="shared" si="49"/>
        <v/>
      </c>
      <c r="B86" s="3"/>
      <c r="C86" s="3"/>
      <c r="D86" s="3"/>
      <c r="E86" s="3"/>
      <c r="F86" s="3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0"/>
      <c r="BI86" s="21"/>
      <c r="BJ86" s="21"/>
    </row>
    <row r="87" spans="1:62" ht="15.75" customHeight="1">
      <c r="A87" s="12" t="str">
        <f t="shared" si="49"/>
        <v/>
      </c>
      <c r="B87" s="3"/>
      <c r="C87" s="3"/>
      <c r="D87" s="3"/>
      <c r="E87" s="3"/>
      <c r="F87" s="3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0"/>
      <c r="BI87" s="21"/>
      <c r="BJ87" s="21"/>
    </row>
    <row r="88" spans="1:62" ht="15.75" customHeight="1">
      <c r="A88" s="2" t="str">
        <f t="shared" si="49"/>
        <v/>
      </c>
      <c r="B88" s="3"/>
      <c r="C88" s="3"/>
      <c r="D88" s="3"/>
      <c r="E88" s="3"/>
      <c r="F88" s="3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0"/>
      <c r="BI88" s="21"/>
      <c r="BJ88" s="21"/>
    </row>
    <row r="89" spans="1:62" ht="15.75" customHeight="1">
      <c r="A89" s="12" t="str">
        <f t="shared" si="49"/>
        <v/>
      </c>
      <c r="B89" s="3"/>
      <c r="C89" s="3"/>
      <c r="D89" s="3"/>
      <c r="E89" s="3"/>
      <c r="F89" s="3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1"/>
      <c r="BJ89" s="21"/>
    </row>
    <row r="90" spans="1:62" ht="15.75" customHeight="1">
      <c r="A90" s="2" t="str">
        <f t="shared" si="49"/>
        <v/>
      </c>
      <c r="B90" s="3"/>
      <c r="C90" s="3"/>
      <c r="D90" s="3"/>
      <c r="E90" s="3"/>
      <c r="F90" s="3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0"/>
      <c r="BI90" s="21"/>
      <c r="BJ90" s="21"/>
    </row>
    <row r="91" spans="1:62" ht="15.75" customHeight="1">
      <c r="A91" s="12" t="str">
        <f t="shared" si="49"/>
        <v/>
      </c>
      <c r="B91" s="3"/>
      <c r="C91" s="3"/>
      <c r="D91" s="3"/>
      <c r="E91" s="3"/>
      <c r="F91" s="3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0"/>
      <c r="BI91" s="21"/>
      <c r="BJ91" s="21"/>
    </row>
    <row r="92" spans="1:62" ht="15.75" customHeight="1">
      <c r="A92" s="2" t="str">
        <f t="shared" si="49"/>
        <v/>
      </c>
      <c r="B92" s="3"/>
      <c r="C92" s="3"/>
      <c r="D92" s="3"/>
      <c r="E92" s="3"/>
      <c r="F92" s="3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0"/>
      <c r="BI92" s="21"/>
      <c r="BJ92" s="21"/>
    </row>
    <row r="93" spans="1:62" ht="15.75" customHeight="1">
      <c r="A93" s="12" t="str">
        <f t="shared" si="49"/>
        <v/>
      </c>
      <c r="B93" s="3"/>
      <c r="C93" s="3"/>
      <c r="D93" s="3"/>
      <c r="E93" s="3"/>
      <c r="F93" s="3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0"/>
      <c r="BI93" s="21"/>
      <c r="BJ93" s="21"/>
    </row>
    <row r="94" spans="1:62" ht="15.75" customHeight="1">
      <c r="A94" s="2" t="str">
        <f t="shared" si="49"/>
        <v/>
      </c>
      <c r="B94" s="3"/>
      <c r="C94" s="3"/>
      <c r="D94" s="3"/>
      <c r="E94" s="3"/>
      <c r="F94" s="3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0"/>
      <c r="BI94" s="21"/>
      <c r="BJ94" s="21"/>
    </row>
    <row r="95" spans="1:62" ht="15.75" customHeight="1">
      <c r="A95" s="12" t="str">
        <f t="shared" si="49"/>
        <v/>
      </c>
      <c r="B95" s="3"/>
      <c r="C95" s="3"/>
      <c r="D95" s="3"/>
      <c r="E95" s="3"/>
      <c r="F95" s="3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1"/>
      <c r="BJ95" s="21"/>
    </row>
    <row r="96" spans="1:62" ht="15.75" customHeight="1">
      <c r="A96" s="2" t="str">
        <f t="shared" si="49"/>
        <v/>
      </c>
      <c r="B96" s="3"/>
      <c r="C96" s="3"/>
      <c r="D96" s="3"/>
      <c r="E96" s="3"/>
      <c r="F96" s="3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1"/>
      <c r="BJ96" s="21"/>
    </row>
    <row r="97" spans="1:62" ht="15.75" customHeight="1">
      <c r="A97" s="12" t="str">
        <f t="shared" si="49"/>
        <v/>
      </c>
      <c r="B97" s="3"/>
      <c r="C97" s="3"/>
      <c r="D97" s="3"/>
      <c r="E97" s="3"/>
      <c r="F97" s="3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1"/>
      <c r="BJ97" s="21"/>
    </row>
    <row r="98" spans="1:62" ht="15.75" customHeight="1">
      <c r="A98" s="2" t="str">
        <f t="shared" si="49"/>
        <v/>
      </c>
      <c r="B98" s="3"/>
      <c r="C98" s="3"/>
      <c r="D98" s="3"/>
      <c r="E98" s="3"/>
      <c r="F98" s="3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1"/>
      <c r="BJ98" s="21"/>
    </row>
    <row r="99" spans="1:62" ht="15.75" customHeight="1">
      <c r="A99" s="3"/>
      <c r="B99" s="3"/>
      <c r="C99" s="3"/>
      <c r="D99" s="3"/>
      <c r="E99" s="3"/>
      <c r="F99" s="3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0"/>
      <c r="BI99" s="21"/>
      <c r="BJ99" s="21"/>
    </row>
    <row r="100" spans="1:62" ht="15.75" customHeight="1">
      <c r="A100" s="3"/>
      <c r="B100" s="3"/>
      <c r="C100" s="3"/>
      <c r="D100" s="3"/>
      <c r="E100" s="3"/>
      <c r="F100" s="3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0"/>
      <c r="BI100" s="21"/>
      <c r="BJ100" s="21"/>
    </row>
    <row r="101" spans="1:62" ht="15.75" customHeight="1">
      <c r="A101" s="3"/>
      <c r="B101" s="3"/>
      <c r="C101" s="3"/>
      <c r="D101" s="3"/>
      <c r="E101" s="3"/>
      <c r="F101" s="3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0"/>
      <c r="BI101" s="21"/>
      <c r="BJ101" s="21"/>
    </row>
    <row r="102" spans="1:62" ht="15.75" customHeight="1">
      <c r="A102" s="3"/>
      <c r="B102" s="3"/>
      <c r="C102" s="3"/>
      <c r="D102" s="3"/>
      <c r="E102" s="3"/>
      <c r="F102" s="3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0"/>
      <c r="BI102" s="21"/>
      <c r="BJ102" s="21"/>
    </row>
    <row r="103" spans="1:62" ht="15.75" customHeight="1">
      <c r="A103" s="3"/>
      <c r="B103" s="3"/>
      <c r="C103" s="3"/>
      <c r="D103" s="3"/>
      <c r="E103" s="3"/>
      <c r="F103" s="3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1"/>
      <c r="BJ103" s="21"/>
    </row>
    <row r="104" spans="1:62" ht="15.75" customHeight="1">
      <c r="A104" s="3"/>
      <c r="B104" s="3"/>
      <c r="C104" s="3"/>
      <c r="D104" s="3"/>
      <c r="E104" s="3"/>
      <c r="F104" s="3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0"/>
      <c r="BI104" s="21"/>
      <c r="BJ104" s="21"/>
    </row>
    <row r="105" spans="1:62" ht="15.75" customHeight="1">
      <c r="A105" s="3"/>
      <c r="B105" s="3"/>
      <c r="C105" s="3"/>
      <c r="D105" s="3"/>
      <c r="E105" s="3"/>
      <c r="F105" s="3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1"/>
      <c r="BJ105" s="21"/>
    </row>
    <row r="106" spans="1:62" ht="15.75" customHeight="1">
      <c r="A106" s="3"/>
      <c r="B106" s="3"/>
      <c r="C106" s="3"/>
      <c r="D106" s="3"/>
      <c r="E106" s="3"/>
      <c r="F106" s="3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0"/>
      <c r="BI106" s="21"/>
      <c r="BJ106" s="21"/>
    </row>
    <row r="107" spans="1:62" ht="15.75" customHeight="1">
      <c r="A107" s="3"/>
      <c r="B107" s="3"/>
      <c r="C107" s="3"/>
      <c r="D107" s="3"/>
      <c r="E107" s="3"/>
      <c r="F107" s="3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1"/>
      <c r="BJ107" s="21"/>
    </row>
    <row r="108" spans="1:62" ht="15.75" customHeight="1">
      <c r="A108" s="3"/>
      <c r="B108" s="3"/>
      <c r="C108" s="3"/>
      <c r="D108" s="3"/>
      <c r="E108" s="3"/>
      <c r="F108" s="3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0"/>
      <c r="BI108" s="21"/>
      <c r="BJ108" s="21"/>
    </row>
    <row r="109" spans="1:62" ht="15.75" customHeight="1">
      <c r="A109" s="3"/>
      <c r="B109" s="3"/>
      <c r="C109" s="3"/>
      <c r="D109" s="3"/>
      <c r="E109" s="3"/>
      <c r="F109" s="3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0"/>
      <c r="BI109" s="21"/>
      <c r="BJ109" s="21"/>
    </row>
    <row r="110" spans="1:62" ht="15.75" customHeight="1">
      <c r="A110" s="3"/>
      <c r="B110" s="3"/>
      <c r="C110" s="3"/>
      <c r="D110" s="3"/>
      <c r="E110" s="3"/>
      <c r="F110" s="3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0"/>
      <c r="BI110" s="21"/>
      <c r="BJ110" s="21"/>
    </row>
    <row r="111" spans="1:62" ht="15.75" customHeight="1">
      <c r="A111" s="3"/>
      <c r="B111" s="3"/>
      <c r="C111" s="3"/>
      <c r="D111" s="3"/>
      <c r="E111" s="3"/>
      <c r="F111" s="3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0"/>
      <c r="BI111" s="21"/>
      <c r="BJ111" s="21"/>
    </row>
    <row r="112" spans="1:62" ht="15.75" customHeight="1">
      <c r="A112" s="3"/>
      <c r="B112" s="3"/>
      <c r="C112" s="3"/>
      <c r="D112" s="3"/>
      <c r="E112" s="3"/>
      <c r="F112" s="3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0"/>
      <c r="BI112" s="21"/>
      <c r="BJ112" s="21"/>
    </row>
    <row r="113" spans="1:62" ht="15.75" customHeight="1">
      <c r="A113" s="3"/>
      <c r="B113" s="3"/>
      <c r="C113" s="3"/>
      <c r="D113" s="3"/>
      <c r="E113" s="3"/>
      <c r="F113" s="3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0"/>
      <c r="BI113" s="21"/>
      <c r="BJ113" s="21"/>
    </row>
    <row r="114" spans="1:62" ht="15.75" customHeight="1">
      <c r="A114" s="3"/>
      <c r="B114" s="3"/>
      <c r="C114" s="3"/>
      <c r="D114" s="3"/>
      <c r="E114" s="3"/>
      <c r="F114" s="3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0"/>
      <c r="BI114" s="21"/>
      <c r="BJ114" s="21"/>
    </row>
    <row r="115" spans="1:62" ht="15.75" customHeight="1">
      <c r="A115" s="3"/>
      <c r="B115" s="3"/>
      <c r="C115" s="3"/>
      <c r="D115" s="3"/>
      <c r="E115" s="3"/>
      <c r="F115" s="3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0"/>
      <c r="BI115" s="21"/>
      <c r="BJ115" s="21"/>
    </row>
    <row r="116" spans="1:62" ht="15.75" customHeight="1">
      <c r="A116" s="3"/>
      <c r="B116" s="3"/>
      <c r="C116" s="3"/>
      <c r="D116" s="3"/>
      <c r="E116" s="3"/>
      <c r="F116" s="3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0"/>
      <c r="BI116" s="21"/>
      <c r="BJ116" s="21"/>
    </row>
    <row r="117" spans="1:62" ht="15.75" customHeight="1">
      <c r="A117" s="3"/>
      <c r="B117" s="3"/>
      <c r="C117" s="3"/>
      <c r="D117" s="3"/>
      <c r="E117" s="3"/>
      <c r="F117" s="3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0"/>
      <c r="BI117" s="21"/>
      <c r="BJ117" s="21"/>
    </row>
    <row r="118" spans="1:62" ht="15.75" customHeight="1">
      <c r="A118" s="3"/>
      <c r="B118" s="3"/>
      <c r="C118" s="3"/>
      <c r="D118" s="3"/>
      <c r="E118" s="3"/>
      <c r="F118" s="3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0"/>
      <c r="BI118" s="21"/>
      <c r="BJ118" s="21"/>
    </row>
    <row r="119" spans="1:62" ht="15.75" customHeight="1">
      <c r="A119" s="3"/>
      <c r="B119" s="3"/>
      <c r="C119" s="3"/>
      <c r="D119" s="3"/>
      <c r="E119" s="3"/>
      <c r="F119" s="3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0"/>
      <c r="BI119" s="21"/>
      <c r="BJ119" s="21"/>
    </row>
    <row r="120" spans="1:62" ht="15.75" customHeight="1">
      <c r="A120" s="3"/>
      <c r="B120" s="3"/>
      <c r="C120" s="3"/>
      <c r="D120" s="3"/>
      <c r="E120" s="3"/>
      <c r="F120" s="3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0"/>
      <c r="BI120" s="21"/>
      <c r="BJ120" s="21"/>
    </row>
    <row r="121" spans="1:62" ht="15.75" customHeight="1">
      <c r="A121" s="3"/>
      <c r="B121" s="3"/>
      <c r="C121" s="3"/>
      <c r="D121" s="3"/>
      <c r="E121" s="3"/>
      <c r="F121" s="3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0"/>
      <c r="BI121" s="21"/>
      <c r="BJ121" s="21"/>
    </row>
    <row r="122" spans="1:62" ht="15.75" customHeight="1">
      <c r="A122" s="3"/>
      <c r="B122" s="3"/>
      <c r="C122" s="3"/>
      <c r="D122" s="3"/>
      <c r="E122" s="3"/>
      <c r="F122" s="3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0"/>
      <c r="BI122" s="21"/>
      <c r="BJ122" s="21"/>
    </row>
    <row r="123" spans="1:62" ht="15.75" customHeight="1">
      <c r="A123" s="3"/>
      <c r="B123" s="3"/>
      <c r="C123" s="3"/>
      <c r="D123" s="3"/>
      <c r="E123" s="3"/>
      <c r="F123" s="3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0"/>
      <c r="BI123" s="21"/>
      <c r="BJ123" s="21"/>
    </row>
    <row r="124" spans="1:62" ht="15.75" customHeight="1">
      <c r="A124" s="3"/>
      <c r="B124" s="3"/>
      <c r="C124" s="3"/>
      <c r="D124" s="3"/>
      <c r="E124" s="3"/>
      <c r="F124" s="3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0"/>
      <c r="BI124" s="21"/>
      <c r="BJ124" s="21"/>
    </row>
    <row r="125" spans="1:62" ht="15.75" customHeight="1">
      <c r="A125" s="3"/>
      <c r="B125" s="3"/>
      <c r="C125" s="3"/>
      <c r="D125" s="3"/>
      <c r="E125" s="3"/>
      <c r="F125" s="3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0"/>
      <c r="BI125" s="21"/>
      <c r="BJ125" s="21"/>
    </row>
    <row r="126" spans="1:62" ht="15.75" customHeight="1">
      <c r="A126" s="3"/>
      <c r="B126" s="3"/>
      <c r="C126" s="3"/>
      <c r="D126" s="3"/>
      <c r="E126" s="3"/>
      <c r="F126" s="3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0"/>
      <c r="BI126" s="21"/>
      <c r="BJ126" s="21"/>
    </row>
    <row r="127" spans="1:62" ht="15.75" customHeight="1">
      <c r="A127" s="3"/>
      <c r="B127" s="3"/>
      <c r="C127" s="3"/>
      <c r="D127" s="3"/>
      <c r="E127" s="3"/>
      <c r="F127" s="3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0"/>
      <c r="BI127" s="21"/>
      <c r="BJ127" s="21"/>
    </row>
    <row r="128" spans="1:62" ht="15.75" customHeight="1">
      <c r="A128" s="3"/>
      <c r="B128" s="3"/>
      <c r="C128" s="3"/>
      <c r="D128" s="3"/>
      <c r="E128" s="3"/>
      <c r="F128" s="3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0"/>
      <c r="BI128" s="21"/>
      <c r="BJ128" s="21"/>
    </row>
    <row r="129" spans="1:62" ht="15.75" customHeight="1">
      <c r="A129" s="3"/>
      <c r="B129" s="3"/>
      <c r="C129" s="3"/>
      <c r="D129" s="3"/>
      <c r="E129" s="3"/>
      <c r="F129" s="3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0"/>
      <c r="BI129" s="21"/>
      <c r="BJ129" s="21"/>
    </row>
    <row r="130" spans="1:62" ht="15.75" customHeight="1">
      <c r="A130" s="3"/>
      <c r="B130" s="3"/>
      <c r="C130" s="3"/>
      <c r="D130" s="3"/>
      <c r="E130" s="3"/>
      <c r="F130" s="3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0"/>
      <c r="BI130" s="21"/>
      <c r="BJ130" s="21"/>
    </row>
    <row r="131" spans="1:62" ht="15.75" customHeight="1">
      <c r="A131" s="3"/>
      <c r="B131" s="3"/>
      <c r="C131" s="3"/>
      <c r="D131" s="3"/>
      <c r="E131" s="3"/>
      <c r="F131" s="3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0"/>
      <c r="BI131" s="21"/>
      <c r="BJ131" s="21"/>
    </row>
    <row r="132" spans="1:62" ht="15.75" customHeight="1">
      <c r="A132" s="3"/>
      <c r="B132" s="3"/>
      <c r="C132" s="3"/>
      <c r="D132" s="3"/>
      <c r="E132" s="3"/>
      <c r="F132" s="3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0"/>
      <c r="BI132" s="21"/>
      <c r="BJ132" s="21"/>
    </row>
    <row r="133" spans="1:62" ht="15.75" customHeight="1">
      <c r="A133" s="3"/>
      <c r="B133" s="3"/>
      <c r="C133" s="3"/>
      <c r="D133" s="3"/>
      <c r="E133" s="3"/>
      <c r="F133" s="3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1"/>
      <c r="BJ133" s="21"/>
    </row>
    <row r="134" spans="1:62" ht="15.75" customHeight="1">
      <c r="A134" s="3"/>
      <c r="B134" s="3"/>
      <c r="C134" s="3"/>
      <c r="D134" s="3"/>
      <c r="E134" s="3"/>
      <c r="F134" s="3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0"/>
      <c r="BI134" s="21"/>
      <c r="BJ134" s="21"/>
    </row>
    <row r="135" spans="1:62" ht="15.75" customHeight="1">
      <c r="A135" s="3"/>
      <c r="B135" s="3"/>
      <c r="C135" s="3"/>
      <c r="D135" s="3"/>
      <c r="E135" s="3"/>
      <c r="F135" s="3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0"/>
      <c r="BI135" s="21"/>
      <c r="BJ135" s="21"/>
    </row>
    <row r="136" spans="1:62" ht="15.75" customHeight="1">
      <c r="A136" s="3"/>
      <c r="B136" s="3"/>
      <c r="C136" s="3"/>
      <c r="D136" s="3"/>
      <c r="E136" s="3"/>
      <c r="F136" s="3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0"/>
      <c r="BI136" s="21"/>
      <c r="BJ136" s="21"/>
    </row>
    <row r="137" spans="1:62" ht="15.75" customHeight="1">
      <c r="A137" s="3"/>
      <c r="B137" s="3"/>
      <c r="C137" s="3"/>
      <c r="D137" s="3"/>
      <c r="E137" s="3"/>
      <c r="F137" s="3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0"/>
      <c r="BI137" s="21"/>
      <c r="BJ137" s="21"/>
    </row>
    <row r="138" spans="1:62" ht="15.75" customHeight="1">
      <c r="A138" s="3"/>
      <c r="B138" s="3"/>
      <c r="C138" s="3"/>
      <c r="D138" s="3"/>
      <c r="E138" s="3"/>
      <c r="F138" s="3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0"/>
      <c r="BI138" s="21"/>
      <c r="BJ138" s="21"/>
    </row>
    <row r="139" spans="1:62" ht="15.75" customHeight="1">
      <c r="A139" s="3"/>
      <c r="B139" s="3"/>
      <c r="C139" s="3"/>
      <c r="D139" s="3"/>
      <c r="E139" s="3"/>
      <c r="F139" s="3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0"/>
      <c r="BI139" s="21"/>
      <c r="BJ139" s="21"/>
    </row>
    <row r="140" spans="1:62" ht="15.75" customHeight="1">
      <c r="A140" s="3"/>
      <c r="B140" s="3"/>
      <c r="C140" s="3"/>
      <c r="D140" s="3"/>
      <c r="E140" s="3"/>
      <c r="F140" s="3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0"/>
      <c r="BI140" s="21"/>
      <c r="BJ140" s="21"/>
    </row>
    <row r="141" spans="1:62" ht="15.75" customHeight="1">
      <c r="A141" s="3"/>
      <c r="B141" s="3"/>
      <c r="C141" s="3"/>
      <c r="D141" s="3"/>
      <c r="E141" s="3"/>
      <c r="F141" s="3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0"/>
      <c r="BI141" s="21"/>
      <c r="BJ141" s="21"/>
    </row>
    <row r="142" spans="1:62" ht="15.75" customHeight="1">
      <c r="A142" s="3"/>
      <c r="B142" s="3"/>
      <c r="C142" s="3"/>
      <c r="D142" s="3"/>
      <c r="E142" s="3"/>
      <c r="F142" s="3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0"/>
      <c r="BI142" s="21"/>
      <c r="BJ142" s="21"/>
    </row>
    <row r="143" spans="1:62" ht="15.75" customHeight="1">
      <c r="A143" s="3"/>
      <c r="B143" s="3"/>
      <c r="C143" s="3"/>
      <c r="D143" s="3"/>
      <c r="E143" s="3"/>
      <c r="F143" s="3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0"/>
      <c r="BI143" s="21"/>
      <c r="BJ143" s="21"/>
    </row>
    <row r="144" spans="1:62" ht="15.75" customHeight="1">
      <c r="A144" s="3"/>
      <c r="B144" s="3"/>
      <c r="C144" s="3"/>
      <c r="D144" s="3"/>
      <c r="E144" s="3"/>
      <c r="F144" s="3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0"/>
      <c r="BI144" s="21"/>
      <c r="BJ144" s="21"/>
    </row>
    <row r="145" spans="1:62" ht="15.75" customHeight="1">
      <c r="A145" s="3"/>
      <c r="B145" s="3"/>
      <c r="C145" s="3"/>
      <c r="D145" s="3"/>
      <c r="E145" s="3"/>
      <c r="F145" s="3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1"/>
      <c r="BJ145" s="21"/>
    </row>
    <row r="146" spans="1:62" ht="15.75" customHeight="1">
      <c r="A146" s="3"/>
      <c r="B146" s="3"/>
      <c r="C146" s="3"/>
      <c r="D146" s="3"/>
      <c r="E146" s="3"/>
      <c r="F146" s="3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0"/>
      <c r="BI146" s="21"/>
      <c r="BJ146" s="21"/>
    </row>
    <row r="147" spans="1:62" ht="15.75" customHeight="1">
      <c r="A147" s="3"/>
      <c r="B147" s="3"/>
      <c r="C147" s="3"/>
      <c r="D147" s="3"/>
      <c r="E147" s="3"/>
      <c r="F147" s="3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0"/>
      <c r="BI147" s="21"/>
      <c r="BJ147" s="21"/>
    </row>
    <row r="148" spans="1:62" ht="15.75" customHeight="1">
      <c r="A148" s="3"/>
      <c r="B148" s="3"/>
      <c r="C148" s="3"/>
      <c r="D148" s="3"/>
      <c r="E148" s="3"/>
      <c r="F148" s="3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1"/>
      <c r="BJ148" s="21"/>
    </row>
    <row r="149" spans="1:62" ht="15.75" customHeight="1">
      <c r="A149" s="3"/>
      <c r="B149" s="3"/>
      <c r="C149" s="3"/>
      <c r="D149" s="3"/>
      <c r="E149" s="3"/>
      <c r="F149" s="3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0"/>
      <c r="BI149" s="21"/>
      <c r="BJ149" s="21"/>
    </row>
    <row r="150" spans="1:62" ht="15.75" customHeight="1">
      <c r="A150" s="3"/>
      <c r="B150" s="3"/>
      <c r="C150" s="3"/>
      <c r="D150" s="3"/>
      <c r="E150" s="3"/>
      <c r="F150" s="3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0"/>
      <c r="BI150" s="21"/>
      <c r="BJ150" s="21"/>
    </row>
    <row r="151" spans="1:62" ht="15.75" customHeight="1">
      <c r="A151" s="3"/>
      <c r="B151" s="3"/>
      <c r="C151" s="3"/>
      <c r="D151" s="3"/>
      <c r="E151" s="3"/>
      <c r="F151" s="3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0"/>
      <c r="BI151" s="21"/>
      <c r="BJ151" s="21"/>
    </row>
    <row r="152" spans="1:62" ht="15.75" customHeight="1">
      <c r="A152" s="3"/>
      <c r="B152" s="3"/>
      <c r="C152" s="3"/>
      <c r="D152" s="3"/>
      <c r="E152" s="3"/>
      <c r="F152" s="3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0"/>
      <c r="BI152" s="21"/>
      <c r="BJ152" s="21"/>
    </row>
    <row r="153" spans="1:62" ht="15.75" customHeight="1">
      <c r="A153" s="3"/>
      <c r="B153" s="3"/>
      <c r="C153" s="3"/>
      <c r="D153" s="3"/>
      <c r="E153" s="3"/>
      <c r="F153" s="3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0"/>
      <c r="BI153" s="21"/>
      <c r="BJ153" s="21"/>
    </row>
    <row r="154" spans="1:62" ht="15.75" customHeight="1">
      <c r="A154" s="3"/>
      <c r="B154" s="3"/>
      <c r="C154" s="3"/>
      <c r="D154" s="3"/>
      <c r="E154" s="3"/>
      <c r="F154" s="3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1"/>
      <c r="BJ154" s="21"/>
    </row>
    <row r="155" spans="1:62" ht="15.75" customHeight="1">
      <c r="A155" s="3"/>
      <c r="B155" s="3"/>
      <c r="C155" s="3"/>
      <c r="D155" s="3"/>
      <c r="E155" s="3"/>
      <c r="F155" s="3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0"/>
      <c r="BI155" s="21"/>
      <c r="BJ155" s="21"/>
    </row>
    <row r="156" spans="1:62" ht="15.75" customHeight="1">
      <c r="A156" s="3"/>
      <c r="B156" s="3"/>
      <c r="C156" s="3"/>
      <c r="D156" s="3"/>
      <c r="E156" s="3"/>
      <c r="F156" s="3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0"/>
      <c r="BI156" s="21"/>
      <c r="BJ156" s="21"/>
    </row>
    <row r="157" spans="1:62" ht="15.75" customHeight="1">
      <c r="A157" s="3"/>
      <c r="B157" s="3"/>
      <c r="C157" s="3"/>
      <c r="D157" s="3"/>
      <c r="E157" s="3"/>
      <c r="F157" s="3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0"/>
      <c r="BI157" s="21"/>
      <c r="BJ157" s="21"/>
    </row>
    <row r="158" spans="1:62" ht="15.75" customHeight="1">
      <c r="A158" s="3"/>
      <c r="B158" s="3"/>
      <c r="C158" s="3"/>
      <c r="D158" s="3"/>
      <c r="E158" s="3"/>
      <c r="F158" s="3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0"/>
      <c r="BI158" s="21"/>
      <c r="BJ158" s="21"/>
    </row>
    <row r="159" spans="1:62" ht="15.75" customHeight="1">
      <c r="A159" s="3"/>
      <c r="B159" s="3"/>
      <c r="C159" s="3"/>
      <c r="D159" s="3"/>
      <c r="E159" s="3"/>
      <c r="F159" s="3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0"/>
      <c r="BI159" s="21"/>
      <c r="BJ159" s="21"/>
    </row>
    <row r="160" spans="1:62" ht="15.75" customHeight="1">
      <c r="A160" s="3"/>
      <c r="B160" s="3"/>
      <c r="C160" s="3"/>
      <c r="D160" s="3"/>
      <c r="E160" s="3"/>
      <c r="F160" s="3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0"/>
      <c r="BI160" s="21"/>
      <c r="BJ160" s="21"/>
    </row>
    <row r="161" spans="1:62" ht="15.75" customHeight="1">
      <c r="A161" s="3"/>
      <c r="B161" s="3"/>
      <c r="C161" s="3"/>
      <c r="D161" s="3"/>
      <c r="E161" s="3"/>
      <c r="F161" s="3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0"/>
      <c r="BI161" s="21"/>
      <c r="BJ161" s="21"/>
    </row>
    <row r="162" spans="1:62" ht="15.75" customHeight="1">
      <c r="A162" s="3"/>
      <c r="B162" s="3"/>
      <c r="C162" s="3"/>
      <c r="D162" s="3"/>
      <c r="E162" s="3"/>
      <c r="F162" s="3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0"/>
      <c r="BI162" s="21"/>
      <c r="BJ162" s="21"/>
    </row>
    <row r="163" spans="1:62" ht="15.75" customHeight="1">
      <c r="A163" s="3"/>
      <c r="B163" s="3"/>
      <c r="C163" s="3"/>
      <c r="D163" s="3"/>
      <c r="E163" s="3"/>
      <c r="F163" s="3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0"/>
      <c r="BI163" s="21"/>
      <c r="BJ163" s="21"/>
    </row>
    <row r="164" spans="1:62" ht="15.75" customHeight="1">
      <c r="A164" s="3"/>
      <c r="B164" s="3"/>
      <c r="C164" s="3"/>
      <c r="D164" s="3"/>
      <c r="E164" s="3"/>
      <c r="F164" s="3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1"/>
      <c r="BJ164" s="21"/>
    </row>
    <row r="165" spans="1:62" ht="15.75" customHeight="1">
      <c r="A165" s="3"/>
      <c r="B165" s="3"/>
      <c r="C165" s="3"/>
      <c r="D165" s="3"/>
      <c r="E165" s="3"/>
      <c r="F165" s="3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0"/>
      <c r="BI165" s="21"/>
      <c r="BJ165" s="21"/>
    </row>
    <row r="166" spans="1:62" ht="15.75" customHeight="1">
      <c r="A166" s="3"/>
      <c r="B166" s="3"/>
      <c r="C166" s="3"/>
      <c r="D166" s="3"/>
      <c r="E166" s="3"/>
      <c r="F166" s="3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0"/>
      <c r="BI166" s="21"/>
      <c r="BJ166" s="21"/>
    </row>
    <row r="167" spans="1:62" ht="15.75" customHeight="1">
      <c r="A167" s="3"/>
      <c r="B167" s="3"/>
      <c r="C167" s="3"/>
      <c r="D167" s="3"/>
      <c r="E167" s="3"/>
      <c r="F167" s="3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0"/>
      <c r="BI167" s="21"/>
      <c r="BJ167" s="21"/>
    </row>
    <row r="168" spans="1:62" ht="15.75" customHeight="1">
      <c r="A168" s="3"/>
      <c r="B168" s="3"/>
      <c r="C168" s="3"/>
      <c r="D168" s="3"/>
      <c r="E168" s="3"/>
      <c r="F168" s="3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1"/>
      <c r="BJ168" s="21"/>
    </row>
    <row r="169" spans="1:62" ht="15.75" customHeight="1">
      <c r="A169" s="3"/>
      <c r="B169" s="3"/>
      <c r="C169" s="3"/>
      <c r="D169" s="3"/>
      <c r="E169" s="3"/>
      <c r="F169" s="3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1"/>
      <c r="BJ169" s="21"/>
    </row>
    <row r="170" spans="1:62" ht="15.75" customHeight="1">
      <c r="A170" s="3"/>
      <c r="B170" s="3"/>
      <c r="C170" s="3"/>
      <c r="D170" s="3"/>
      <c r="E170" s="3"/>
      <c r="F170" s="3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1"/>
      <c r="BJ170" s="21"/>
    </row>
    <row r="171" spans="1:62" ht="15.75" customHeight="1">
      <c r="A171" s="3"/>
      <c r="B171" s="3"/>
      <c r="C171" s="3"/>
      <c r="D171" s="3"/>
      <c r="E171" s="3"/>
      <c r="F171" s="3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0"/>
      <c r="BI171" s="21"/>
      <c r="BJ171" s="21"/>
    </row>
    <row r="172" spans="1:62" ht="15.75" customHeight="1">
      <c r="A172" s="3"/>
      <c r="B172" s="3"/>
      <c r="C172" s="3"/>
      <c r="D172" s="3"/>
      <c r="E172" s="3"/>
      <c r="F172" s="3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1"/>
      <c r="BJ172" s="21"/>
    </row>
    <row r="173" spans="1:62" ht="15.75" customHeight="1">
      <c r="A173" s="3"/>
      <c r="B173" s="3"/>
      <c r="C173" s="3"/>
      <c r="D173" s="3"/>
      <c r="E173" s="3"/>
      <c r="F173" s="3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0"/>
      <c r="BI173" s="21"/>
      <c r="BJ173" s="21"/>
    </row>
    <row r="174" spans="1:62" ht="15.75" customHeight="1">
      <c r="A174" s="3"/>
      <c r="B174" s="3"/>
      <c r="C174" s="3"/>
      <c r="D174" s="3"/>
      <c r="E174" s="3"/>
      <c r="F174" s="3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0"/>
      <c r="BI174" s="21"/>
      <c r="BJ174" s="21"/>
    </row>
    <row r="175" spans="1:62" ht="15.75" customHeight="1">
      <c r="A175" s="3"/>
      <c r="B175" s="3"/>
      <c r="C175" s="3"/>
      <c r="D175" s="3"/>
      <c r="E175" s="3"/>
      <c r="F175" s="3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1"/>
      <c r="BJ175" s="21"/>
    </row>
    <row r="176" spans="1:62" ht="15.75" customHeight="1">
      <c r="A176" s="3"/>
      <c r="B176" s="3"/>
      <c r="C176" s="3"/>
      <c r="D176" s="3"/>
      <c r="E176" s="3"/>
      <c r="F176" s="3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0"/>
      <c r="BI176" s="21"/>
      <c r="BJ176" s="21"/>
    </row>
    <row r="177" spans="1:62" ht="15.75" customHeight="1">
      <c r="A177" s="3"/>
      <c r="B177" s="3"/>
      <c r="C177" s="3"/>
      <c r="D177" s="3"/>
      <c r="E177" s="3"/>
      <c r="F177" s="3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0"/>
      <c r="BI177" s="21"/>
      <c r="BJ177" s="21"/>
    </row>
    <row r="178" spans="1:62" ht="15.75" customHeight="1">
      <c r="A178" s="3"/>
      <c r="B178" s="3"/>
      <c r="C178" s="3"/>
      <c r="D178" s="3"/>
      <c r="E178" s="3"/>
      <c r="F178" s="3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0"/>
      <c r="BI178" s="21"/>
      <c r="BJ178" s="21"/>
    </row>
    <row r="179" spans="1:62" ht="15.75" customHeight="1">
      <c r="A179" s="3"/>
      <c r="B179" s="3"/>
      <c r="C179" s="3"/>
      <c r="D179" s="3"/>
      <c r="E179" s="3"/>
      <c r="F179" s="3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0"/>
      <c r="BI179" s="21"/>
      <c r="BJ179" s="21"/>
    </row>
    <row r="180" spans="1:62" ht="15.75" customHeight="1">
      <c r="A180" s="3"/>
      <c r="B180" s="3"/>
      <c r="C180" s="3"/>
      <c r="D180" s="3"/>
      <c r="E180" s="3"/>
      <c r="F180" s="3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1"/>
      <c r="BJ180" s="21"/>
    </row>
    <row r="181" spans="1:62" ht="15.75" customHeight="1">
      <c r="A181" s="3"/>
      <c r="B181" s="3"/>
      <c r="C181" s="3"/>
      <c r="D181" s="3"/>
      <c r="E181" s="3"/>
      <c r="F181" s="3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0"/>
      <c r="BI181" s="21"/>
      <c r="BJ181" s="21"/>
    </row>
    <row r="182" spans="1:62" ht="15.75" customHeight="1">
      <c r="A182" s="3"/>
      <c r="B182" s="3"/>
      <c r="C182" s="3"/>
      <c r="D182" s="3"/>
      <c r="E182" s="3"/>
      <c r="F182" s="3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0"/>
      <c r="BI182" s="21"/>
      <c r="BJ182" s="21"/>
    </row>
    <row r="183" spans="1:62" ht="15.75" customHeight="1">
      <c r="A183" s="3"/>
      <c r="B183" s="3"/>
      <c r="C183" s="3"/>
      <c r="D183" s="3"/>
      <c r="E183" s="3"/>
      <c r="F183" s="3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0"/>
      <c r="BI183" s="21"/>
      <c r="BJ183" s="21"/>
    </row>
    <row r="184" spans="1:62" ht="15.75" customHeight="1">
      <c r="A184" s="3"/>
      <c r="B184" s="3"/>
      <c r="C184" s="3"/>
      <c r="D184" s="3"/>
      <c r="E184" s="3"/>
      <c r="F184" s="3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0"/>
      <c r="BI184" s="21"/>
      <c r="BJ184" s="21"/>
    </row>
    <row r="185" spans="1:62" ht="15.75" customHeight="1">
      <c r="A185" s="3"/>
      <c r="B185" s="3"/>
      <c r="C185" s="3"/>
      <c r="D185" s="3"/>
      <c r="E185" s="3"/>
      <c r="F185" s="3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1"/>
      <c r="BJ185" s="21"/>
    </row>
    <row r="186" spans="1:62" ht="15.75" customHeight="1">
      <c r="A186" s="3"/>
      <c r="B186" s="3"/>
      <c r="C186" s="3"/>
      <c r="D186" s="3"/>
      <c r="E186" s="3"/>
      <c r="F186" s="3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1"/>
      <c r="BJ186" s="21"/>
    </row>
    <row r="187" spans="1:62" ht="15.75" customHeight="1">
      <c r="A187" s="3"/>
      <c r="B187" s="3"/>
      <c r="C187" s="3"/>
      <c r="D187" s="3"/>
      <c r="E187" s="3"/>
      <c r="F187" s="3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1"/>
      <c r="BJ187" s="21"/>
    </row>
    <row r="188" spans="1:62" ht="15.75" customHeight="1">
      <c r="A188" s="3"/>
      <c r="B188" s="3"/>
      <c r="C188" s="3"/>
      <c r="D188" s="3"/>
      <c r="E188" s="3"/>
      <c r="F188" s="3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1"/>
      <c r="BJ188" s="21"/>
    </row>
    <row r="189" spans="1:62" ht="15.75" customHeight="1">
      <c r="A189" s="3"/>
      <c r="B189" s="3"/>
      <c r="C189" s="3"/>
      <c r="D189" s="3"/>
      <c r="E189" s="3"/>
      <c r="F189" s="3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1"/>
      <c r="BJ189" s="21"/>
    </row>
    <row r="190" spans="1:62" ht="15.75" customHeight="1">
      <c r="A190" s="3"/>
      <c r="B190" s="3"/>
      <c r="C190" s="3"/>
      <c r="D190" s="3"/>
      <c r="E190" s="3"/>
      <c r="F190" s="3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0"/>
      <c r="BI190" s="21"/>
      <c r="BJ190" s="21"/>
    </row>
    <row r="191" spans="1:62" ht="15.75" customHeight="1">
      <c r="A191" s="3"/>
      <c r="B191" s="3"/>
      <c r="C191" s="3"/>
      <c r="D191" s="3"/>
      <c r="E191" s="3"/>
      <c r="F191" s="3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0"/>
      <c r="BI191" s="21"/>
      <c r="BJ191" s="21"/>
    </row>
    <row r="192" spans="1:62" ht="15.75" customHeight="1">
      <c r="A192" s="3"/>
      <c r="B192" s="3"/>
      <c r="C192" s="3"/>
      <c r="D192" s="3"/>
      <c r="E192" s="3"/>
      <c r="F192" s="3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0"/>
      <c r="BI192" s="21"/>
      <c r="BJ192" s="21"/>
    </row>
    <row r="193" spans="1:62" ht="15.75" customHeight="1">
      <c r="A193" s="3"/>
      <c r="B193" s="3"/>
      <c r="C193" s="3"/>
      <c r="D193" s="3"/>
      <c r="E193" s="3"/>
      <c r="F193" s="3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1"/>
      <c r="BJ193" s="21"/>
    </row>
    <row r="194" spans="1:62" ht="15.75" customHeight="1">
      <c r="A194" s="3"/>
      <c r="B194" s="3"/>
      <c r="C194" s="3"/>
      <c r="D194" s="3"/>
      <c r="E194" s="3"/>
      <c r="F194" s="3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0"/>
      <c r="BI194" s="21"/>
      <c r="BJ194" s="21"/>
    </row>
    <row r="195" spans="1:62" ht="15.75" customHeight="1">
      <c r="A195" s="3"/>
      <c r="B195" s="3"/>
      <c r="C195" s="3"/>
      <c r="D195" s="3"/>
      <c r="E195" s="3"/>
      <c r="F195" s="3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1"/>
      <c r="BJ195" s="21"/>
    </row>
    <row r="196" spans="1:62" ht="15.75" customHeight="1">
      <c r="A196" s="3"/>
      <c r="B196" s="3"/>
      <c r="C196" s="3"/>
      <c r="D196" s="3"/>
      <c r="E196" s="3"/>
      <c r="F196" s="3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0"/>
      <c r="BI196" s="21"/>
      <c r="BJ196" s="21"/>
    </row>
    <row r="197" spans="1:62" ht="15.75" customHeight="1">
      <c r="A197" s="3"/>
      <c r="B197" s="3"/>
      <c r="C197" s="3"/>
      <c r="D197" s="3"/>
      <c r="E197" s="3"/>
      <c r="F197" s="3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1"/>
      <c r="BJ197" s="21"/>
    </row>
    <row r="198" spans="1:62" ht="15.75" customHeight="1">
      <c r="A198" s="3"/>
      <c r="B198" s="3"/>
      <c r="C198" s="3"/>
      <c r="D198" s="3"/>
      <c r="E198" s="3"/>
      <c r="F198" s="3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0"/>
      <c r="BI198" s="21"/>
      <c r="BJ198" s="21"/>
    </row>
    <row r="199" spans="1:62" ht="15.75" customHeight="1">
      <c r="A199" s="3"/>
      <c r="B199" s="3"/>
      <c r="C199" s="3"/>
      <c r="D199" s="3"/>
      <c r="E199" s="3"/>
      <c r="F199" s="3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1"/>
      <c r="BJ199" s="21"/>
    </row>
    <row r="200" spans="1:62" ht="15.75" customHeight="1">
      <c r="A200" s="3"/>
      <c r="B200" s="3"/>
      <c r="C200" s="3"/>
      <c r="D200" s="3"/>
      <c r="E200" s="3"/>
      <c r="F200" s="3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  <c r="AP200" s="20"/>
      <c r="AQ200" s="20"/>
      <c r="AR200" s="20"/>
      <c r="AS200" s="20"/>
      <c r="AT200" s="20"/>
      <c r="AU200" s="20"/>
      <c r="AV200" s="20"/>
      <c r="AW200" s="20"/>
      <c r="AX200" s="20"/>
      <c r="AY200" s="20"/>
      <c r="AZ200" s="20"/>
      <c r="BA200" s="20"/>
      <c r="BB200" s="20"/>
      <c r="BC200" s="20"/>
      <c r="BD200" s="20"/>
      <c r="BE200" s="20"/>
      <c r="BF200" s="20"/>
      <c r="BG200" s="20"/>
      <c r="BH200" s="20"/>
      <c r="BI200" s="21"/>
      <c r="BJ200" s="21"/>
    </row>
    <row r="201" spans="1:62" ht="15.75" customHeight="1">
      <c r="A201" s="3"/>
      <c r="B201" s="3"/>
      <c r="C201" s="3"/>
      <c r="D201" s="3"/>
      <c r="E201" s="3"/>
      <c r="F201" s="3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  <c r="AP201" s="20"/>
      <c r="AQ201" s="20"/>
      <c r="AR201" s="20"/>
      <c r="AS201" s="20"/>
      <c r="AT201" s="20"/>
      <c r="AU201" s="20"/>
      <c r="AV201" s="20"/>
      <c r="AW201" s="20"/>
      <c r="AX201" s="20"/>
      <c r="AY201" s="20"/>
      <c r="AZ201" s="20"/>
      <c r="BA201" s="20"/>
      <c r="BB201" s="20"/>
      <c r="BC201" s="20"/>
      <c r="BD201" s="20"/>
      <c r="BE201" s="20"/>
      <c r="BF201" s="20"/>
      <c r="BG201" s="20"/>
      <c r="BH201" s="20"/>
      <c r="BI201" s="21"/>
      <c r="BJ201" s="21"/>
    </row>
    <row r="202" spans="1:62" ht="15.75" customHeight="1">
      <c r="A202" s="3"/>
      <c r="B202" s="3"/>
      <c r="C202" s="3"/>
      <c r="D202" s="3"/>
      <c r="E202" s="3"/>
      <c r="F202" s="3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  <c r="AP202" s="20"/>
      <c r="AQ202" s="20"/>
      <c r="AR202" s="20"/>
      <c r="AS202" s="20"/>
      <c r="AT202" s="20"/>
      <c r="AU202" s="20"/>
      <c r="AV202" s="20"/>
      <c r="AW202" s="20"/>
      <c r="AX202" s="20"/>
      <c r="AY202" s="20"/>
      <c r="AZ202" s="20"/>
      <c r="BA202" s="20"/>
      <c r="BB202" s="20"/>
      <c r="BC202" s="20"/>
      <c r="BD202" s="20"/>
      <c r="BE202" s="20"/>
      <c r="BF202" s="20"/>
      <c r="BG202" s="20"/>
      <c r="BH202" s="20"/>
      <c r="BI202" s="21"/>
      <c r="BJ202" s="21"/>
    </row>
    <row r="203" spans="1:62" ht="15.75" customHeight="1">
      <c r="A203" s="3"/>
      <c r="B203" s="3"/>
      <c r="C203" s="3"/>
      <c r="D203" s="3"/>
      <c r="E203" s="3"/>
      <c r="F203" s="3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  <c r="AP203" s="20"/>
      <c r="AQ203" s="20"/>
      <c r="AR203" s="20"/>
      <c r="AS203" s="20"/>
      <c r="AT203" s="20"/>
      <c r="AU203" s="20"/>
      <c r="AV203" s="20"/>
      <c r="AW203" s="20"/>
      <c r="AX203" s="20"/>
      <c r="AY203" s="20"/>
      <c r="AZ203" s="20"/>
      <c r="BA203" s="20"/>
      <c r="BB203" s="20"/>
      <c r="BC203" s="20"/>
      <c r="BD203" s="20"/>
      <c r="BE203" s="20"/>
      <c r="BF203" s="20"/>
      <c r="BG203" s="20"/>
      <c r="BH203" s="20"/>
      <c r="BI203" s="21"/>
      <c r="BJ203" s="21"/>
    </row>
    <row r="204" spans="1:62" ht="15.75" customHeight="1">
      <c r="A204" s="3"/>
      <c r="B204" s="3"/>
      <c r="C204" s="3"/>
      <c r="D204" s="3"/>
      <c r="E204" s="3"/>
      <c r="F204" s="3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  <c r="AP204" s="20"/>
      <c r="AQ204" s="20"/>
      <c r="AR204" s="20"/>
      <c r="AS204" s="20"/>
      <c r="AT204" s="20"/>
      <c r="AU204" s="20"/>
      <c r="AV204" s="20"/>
      <c r="AW204" s="20"/>
      <c r="AX204" s="20"/>
      <c r="AY204" s="20"/>
      <c r="AZ204" s="20"/>
      <c r="BA204" s="20"/>
      <c r="BB204" s="20"/>
      <c r="BC204" s="20"/>
      <c r="BD204" s="20"/>
      <c r="BE204" s="20"/>
      <c r="BF204" s="20"/>
      <c r="BG204" s="20"/>
      <c r="BH204" s="20"/>
      <c r="BI204" s="21"/>
      <c r="BJ204" s="21"/>
    </row>
    <row r="205" spans="1:62" ht="15.75" customHeight="1">
      <c r="A205" s="3"/>
      <c r="B205" s="3"/>
      <c r="C205" s="3"/>
      <c r="D205" s="3"/>
      <c r="E205" s="3"/>
      <c r="F205" s="3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  <c r="BB205" s="20"/>
      <c r="BC205" s="20"/>
      <c r="BD205" s="20"/>
      <c r="BE205" s="20"/>
      <c r="BF205" s="20"/>
      <c r="BG205" s="20"/>
      <c r="BH205" s="20"/>
      <c r="BI205" s="21"/>
      <c r="BJ205" s="21"/>
    </row>
    <row r="206" spans="1:62" ht="15.75" customHeight="1">
      <c r="A206" s="3"/>
      <c r="B206" s="3"/>
      <c r="C206" s="3"/>
      <c r="D206" s="3"/>
      <c r="E206" s="3"/>
      <c r="F206" s="3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  <c r="BB206" s="20"/>
      <c r="BC206" s="20"/>
      <c r="BD206" s="20"/>
      <c r="BE206" s="20"/>
      <c r="BF206" s="20"/>
      <c r="BG206" s="20"/>
      <c r="BH206" s="20"/>
      <c r="BI206" s="21"/>
      <c r="BJ206" s="21"/>
    </row>
    <row r="207" spans="1:62" ht="15.75" customHeight="1">
      <c r="A207" s="3"/>
      <c r="B207" s="3"/>
      <c r="C207" s="3"/>
      <c r="D207" s="3"/>
      <c r="E207" s="3"/>
      <c r="F207" s="3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  <c r="AP207" s="20"/>
      <c r="AQ207" s="20"/>
      <c r="AR207" s="20"/>
      <c r="AS207" s="20"/>
      <c r="AT207" s="20"/>
      <c r="AU207" s="20"/>
      <c r="AV207" s="20"/>
      <c r="AW207" s="20"/>
      <c r="AX207" s="20"/>
      <c r="AY207" s="20"/>
      <c r="AZ207" s="20"/>
      <c r="BA207" s="20"/>
      <c r="BB207" s="20"/>
      <c r="BC207" s="20"/>
      <c r="BD207" s="20"/>
      <c r="BE207" s="20"/>
      <c r="BF207" s="20"/>
      <c r="BG207" s="20"/>
      <c r="BH207" s="20"/>
      <c r="BI207" s="21"/>
      <c r="BJ207" s="21"/>
    </row>
    <row r="208" spans="1:62" ht="15.75" customHeight="1">
      <c r="A208" s="3"/>
      <c r="B208" s="3"/>
      <c r="C208" s="3"/>
      <c r="D208" s="3"/>
      <c r="E208" s="3"/>
      <c r="F208" s="3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  <c r="AP208" s="20"/>
      <c r="AQ208" s="20"/>
      <c r="AR208" s="20"/>
      <c r="AS208" s="20"/>
      <c r="AT208" s="20"/>
      <c r="AU208" s="20"/>
      <c r="AV208" s="20"/>
      <c r="AW208" s="20"/>
      <c r="AX208" s="20"/>
      <c r="AY208" s="20"/>
      <c r="AZ208" s="20"/>
      <c r="BA208" s="20"/>
      <c r="BB208" s="20"/>
      <c r="BC208" s="20"/>
      <c r="BD208" s="20"/>
      <c r="BE208" s="20"/>
      <c r="BF208" s="20"/>
      <c r="BG208" s="20"/>
      <c r="BH208" s="20"/>
      <c r="BI208" s="21"/>
      <c r="BJ208" s="21"/>
    </row>
    <row r="209" spans="1:62" ht="15.75" customHeight="1">
      <c r="A209" s="3"/>
      <c r="B209" s="3"/>
      <c r="C209" s="3"/>
      <c r="D209" s="3"/>
      <c r="E209" s="3"/>
      <c r="F209" s="3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  <c r="AP209" s="20"/>
      <c r="AQ209" s="20"/>
      <c r="AR209" s="20"/>
      <c r="AS209" s="20"/>
      <c r="AT209" s="20"/>
      <c r="AU209" s="20"/>
      <c r="AV209" s="20"/>
      <c r="AW209" s="20"/>
      <c r="AX209" s="20"/>
      <c r="AY209" s="20"/>
      <c r="AZ209" s="20"/>
      <c r="BA209" s="20"/>
      <c r="BB209" s="20"/>
      <c r="BC209" s="20"/>
      <c r="BD209" s="20"/>
      <c r="BE209" s="20"/>
      <c r="BF209" s="20"/>
      <c r="BG209" s="20"/>
      <c r="BH209" s="20"/>
      <c r="BI209" s="21"/>
      <c r="BJ209" s="21"/>
    </row>
    <row r="210" spans="1:62" ht="15.75" customHeight="1">
      <c r="A210" s="3"/>
      <c r="B210" s="3"/>
      <c r="C210" s="3"/>
      <c r="D210" s="3"/>
      <c r="E210" s="3"/>
      <c r="F210" s="3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  <c r="AP210" s="20"/>
      <c r="AQ210" s="20"/>
      <c r="AR210" s="20"/>
      <c r="AS210" s="20"/>
      <c r="AT210" s="20"/>
      <c r="AU210" s="20"/>
      <c r="AV210" s="20"/>
      <c r="AW210" s="20"/>
      <c r="AX210" s="20"/>
      <c r="AY210" s="20"/>
      <c r="AZ210" s="20"/>
      <c r="BA210" s="20"/>
      <c r="BB210" s="20"/>
      <c r="BC210" s="20"/>
      <c r="BD210" s="20"/>
      <c r="BE210" s="20"/>
      <c r="BF210" s="20"/>
      <c r="BG210" s="20"/>
      <c r="BH210" s="20"/>
      <c r="BI210" s="21"/>
      <c r="BJ210" s="21"/>
    </row>
    <row r="211" spans="1:62" ht="15.75" customHeight="1">
      <c r="A211" s="3"/>
      <c r="B211" s="3"/>
      <c r="C211" s="3"/>
      <c r="D211" s="3"/>
      <c r="E211" s="3"/>
      <c r="F211" s="3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  <c r="AP211" s="20"/>
      <c r="AQ211" s="20"/>
      <c r="AR211" s="20"/>
      <c r="AS211" s="20"/>
      <c r="AT211" s="20"/>
      <c r="AU211" s="20"/>
      <c r="AV211" s="20"/>
      <c r="AW211" s="20"/>
      <c r="AX211" s="20"/>
      <c r="AY211" s="20"/>
      <c r="AZ211" s="20"/>
      <c r="BA211" s="20"/>
      <c r="BB211" s="20"/>
      <c r="BC211" s="20"/>
      <c r="BD211" s="20"/>
      <c r="BE211" s="20"/>
      <c r="BF211" s="20"/>
      <c r="BG211" s="20"/>
      <c r="BH211" s="20"/>
      <c r="BI211" s="21"/>
      <c r="BJ211" s="21"/>
    </row>
    <row r="212" spans="1:62" ht="15.75" customHeight="1">
      <c r="A212" s="3"/>
      <c r="B212" s="3"/>
      <c r="C212" s="3"/>
      <c r="D212" s="3"/>
      <c r="E212" s="3"/>
      <c r="F212" s="3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  <c r="AP212" s="20"/>
      <c r="AQ212" s="20"/>
      <c r="AR212" s="20"/>
      <c r="AS212" s="20"/>
      <c r="AT212" s="20"/>
      <c r="AU212" s="20"/>
      <c r="AV212" s="20"/>
      <c r="AW212" s="20"/>
      <c r="AX212" s="20"/>
      <c r="AY212" s="20"/>
      <c r="AZ212" s="20"/>
      <c r="BA212" s="20"/>
      <c r="BB212" s="20"/>
      <c r="BC212" s="20"/>
      <c r="BD212" s="20"/>
      <c r="BE212" s="20"/>
      <c r="BF212" s="20"/>
      <c r="BG212" s="20"/>
      <c r="BH212" s="20"/>
      <c r="BI212" s="21"/>
      <c r="BJ212" s="21"/>
    </row>
    <row r="213" spans="1:62" ht="15.75" customHeight="1">
      <c r="A213" s="3"/>
      <c r="B213" s="3"/>
      <c r="C213" s="3"/>
      <c r="D213" s="3"/>
      <c r="E213" s="3"/>
      <c r="F213" s="3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  <c r="AP213" s="20"/>
      <c r="AQ213" s="20"/>
      <c r="AR213" s="20"/>
      <c r="AS213" s="20"/>
      <c r="AT213" s="20"/>
      <c r="AU213" s="20"/>
      <c r="AV213" s="20"/>
      <c r="AW213" s="20"/>
      <c r="AX213" s="20"/>
      <c r="AY213" s="20"/>
      <c r="AZ213" s="20"/>
      <c r="BA213" s="20"/>
      <c r="BB213" s="20"/>
      <c r="BC213" s="20"/>
      <c r="BD213" s="20"/>
      <c r="BE213" s="20"/>
      <c r="BF213" s="20"/>
      <c r="BG213" s="20"/>
      <c r="BH213" s="20"/>
      <c r="BI213" s="21"/>
      <c r="BJ213" s="21"/>
    </row>
    <row r="214" spans="1:62" ht="15.75" customHeight="1">
      <c r="A214" s="3"/>
      <c r="B214" s="3"/>
      <c r="C214" s="3"/>
      <c r="D214" s="3"/>
      <c r="E214" s="3"/>
      <c r="F214" s="3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  <c r="AP214" s="20"/>
      <c r="AQ214" s="20"/>
      <c r="AR214" s="20"/>
      <c r="AS214" s="20"/>
      <c r="AT214" s="20"/>
      <c r="AU214" s="20"/>
      <c r="AV214" s="20"/>
      <c r="AW214" s="20"/>
      <c r="AX214" s="20"/>
      <c r="AY214" s="20"/>
      <c r="AZ214" s="20"/>
      <c r="BA214" s="20"/>
      <c r="BB214" s="20"/>
      <c r="BC214" s="20"/>
      <c r="BD214" s="20"/>
      <c r="BE214" s="20"/>
      <c r="BF214" s="20"/>
      <c r="BG214" s="20"/>
      <c r="BH214" s="20"/>
      <c r="BI214" s="21"/>
      <c r="BJ214" s="21"/>
    </row>
    <row r="215" spans="1:62" ht="15.75" customHeight="1">
      <c r="A215" s="3"/>
      <c r="B215" s="3"/>
      <c r="C215" s="3"/>
      <c r="D215" s="3"/>
      <c r="E215" s="3"/>
      <c r="F215" s="3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  <c r="AP215" s="20"/>
      <c r="AQ215" s="20"/>
      <c r="AR215" s="20"/>
      <c r="AS215" s="20"/>
      <c r="AT215" s="20"/>
      <c r="AU215" s="20"/>
      <c r="AV215" s="20"/>
      <c r="AW215" s="20"/>
      <c r="AX215" s="20"/>
      <c r="AY215" s="20"/>
      <c r="AZ215" s="20"/>
      <c r="BA215" s="20"/>
      <c r="BB215" s="20"/>
      <c r="BC215" s="20"/>
      <c r="BD215" s="20"/>
      <c r="BE215" s="20"/>
      <c r="BF215" s="20"/>
      <c r="BG215" s="20"/>
      <c r="BH215" s="20"/>
      <c r="BI215" s="21"/>
      <c r="BJ215" s="21"/>
    </row>
    <row r="216" spans="1:62" ht="15.75" customHeight="1">
      <c r="A216" s="3"/>
      <c r="B216" s="3"/>
      <c r="C216" s="3"/>
      <c r="D216" s="3"/>
      <c r="E216" s="3"/>
      <c r="F216" s="3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  <c r="AP216" s="20"/>
      <c r="AQ216" s="20"/>
      <c r="AR216" s="20"/>
      <c r="AS216" s="20"/>
      <c r="AT216" s="20"/>
      <c r="AU216" s="20"/>
      <c r="AV216" s="20"/>
      <c r="AW216" s="20"/>
      <c r="AX216" s="20"/>
      <c r="AY216" s="20"/>
      <c r="AZ216" s="20"/>
      <c r="BA216" s="20"/>
      <c r="BB216" s="20"/>
      <c r="BC216" s="20"/>
      <c r="BD216" s="20"/>
      <c r="BE216" s="20"/>
      <c r="BF216" s="20"/>
      <c r="BG216" s="20"/>
      <c r="BH216" s="20"/>
      <c r="BI216" s="21"/>
      <c r="BJ216" s="21"/>
    </row>
    <row r="217" spans="1:62" ht="15.75" customHeight="1">
      <c r="A217" s="3"/>
      <c r="B217" s="3"/>
      <c r="C217" s="3"/>
      <c r="D217" s="3"/>
      <c r="E217" s="3"/>
      <c r="F217" s="3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  <c r="AP217" s="20"/>
      <c r="AQ217" s="20"/>
      <c r="AR217" s="20"/>
      <c r="AS217" s="20"/>
      <c r="AT217" s="20"/>
      <c r="AU217" s="20"/>
      <c r="AV217" s="20"/>
      <c r="AW217" s="20"/>
      <c r="AX217" s="20"/>
      <c r="AY217" s="20"/>
      <c r="AZ217" s="20"/>
      <c r="BA217" s="20"/>
      <c r="BB217" s="20"/>
      <c r="BC217" s="20"/>
      <c r="BD217" s="20"/>
      <c r="BE217" s="20"/>
      <c r="BF217" s="20"/>
      <c r="BG217" s="20"/>
      <c r="BH217" s="20"/>
      <c r="BI217" s="21"/>
      <c r="BJ217" s="21"/>
    </row>
    <row r="218" spans="1:62" ht="15.75" customHeight="1">
      <c r="A218" s="3"/>
      <c r="B218" s="3"/>
      <c r="C218" s="3"/>
      <c r="D218" s="3"/>
      <c r="E218" s="3"/>
      <c r="F218" s="3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  <c r="AP218" s="20"/>
      <c r="AQ218" s="20"/>
      <c r="AR218" s="20"/>
      <c r="AS218" s="20"/>
      <c r="AT218" s="20"/>
      <c r="AU218" s="20"/>
      <c r="AV218" s="20"/>
      <c r="AW218" s="20"/>
      <c r="AX218" s="20"/>
      <c r="AY218" s="20"/>
      <c r="AZ218" s="20"/>
      <c r="BA218" s="20"/>
      <c r="BB218" s="20"/>
      <c r="BC218" s="20"/>
      <c r="BD218" s="20"/>
      <c r="BE218" s="20"/>
      <c r="BF218" s="20"/>
      <c r="BG218" s="20"/>
      <c r="BH218" s="20"/>
      <c r="BI218" s="21"/>
      <c r="BJ218" s="21"/>
    </row>
    <row r="219" spans="1:62" ht="15.75" customHeight="1">
      <c r="A219" s="3"/>
      <c r="B219" s="3"/>
      <c r="C219" s="3"/>
      <c r="D219" s="3"/>
      <c r="E219" s="3"/>
      <c r="F219" s="3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  <c r="AP219" s="20"/>
      <c r="AQ219" s="20"/>
      <c r="AR219" s="20"/>
      <c r="AS219" s="20"/>
      <c r="AT219" s="20"/>
      <c r="AU219" s="20"/>
      <c r="AV219" s="20"/>
      <c r="AW219" s="20"/>
      <c r="AX219" s="20"/>
      <c r="AY219" s="20"/>
      <c r="AZ219" s="20"/>
      <c r="BA219" s="20"/>
      <c r="BB219" s="20"/>
      <c r="BC219" s="20"/>
      <c r="BD219" s="20"/>
      <c r="BE219" s="20"/>
      <c r="BF219" s="20"/>
      <c r="BG219" s="20"/>
      <c r="BH219" s="20"/>
      <c r="BI219" s="21"/>
      <c r="BJ219" s="21"/>
    </row>
    <row r="220" spans="1:62" ht="15.75" customHeight="1">
      <c r="A220" s="3"/>
      <c r="B220" s="3"/>
      <c r="C220" s="3"/>
      <c r="D220" s="3"/>
      <c r="E220" s="3"/>
      <c r="F220" s="3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  <c r="AP220" s="20"/>
      <c r="AQ220" s="20"/>
      <c r="AR220" s="20"/>
      <c r="AS220" s="20"/>
      <c r="AT220" s="20"/>
      <c r="AU220" s="20"/>
      <c r="AV220" s="20"/>
      <c r="AW220" s="20"/>
      <c r="AX220" s="20"/>
      <c r="AY220" s="20"/>
      <c r="AZ220" s="20"/>
      <c r="BA220" s="20"/>
      <c r="BB220" s="20"/>
      <c r="BC220" s="20"/>
      <c r="BD220" s="20"/>
      <c r="BE220" s="20"/>
      <c r="BF220" s="20"/>
      <c r="BG220" s="20"/>
      <c r="BH220" s="20"/>
      <c r="BI220" s="21"/>
      <c r="BJ220" s="21"/>
    </row>
    <row r="221" spans="1:62" ht="15.75" customHeight="1">
      <c r="A221" s="3"/>
      <c r="B221" s="3"/>
      <c r="C221" s="3"/>
      <c r="D221" s="3"/>
      <c r="E221" s="3"/>
      <c r="F221" s="3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  <c r="AP221" s="20"/>
      <c r="AQ221" s="20"/>
      <c r="AR221" s="20"/>
      <c r="AS221" s="20"/>
      <c r="AT221" s="20"/>
      <c r="AU221" s="20"/>
      <c r="AV221" s="20"/>
      <c r="AW221" s="20"/>
      <c r="AX221" s="20"/>
      <c r="AY221" s="20"/>
      <c r="AZ221" s="20"/>
      <c r="BA221" s="20"/>
      <c r="BB221" s="20"/>
      <c r="BC221" s="20"/>
      <c r="BD221" s="20"/>
      <c r="BE221" s="20"/>
      <c r="BF221" s="20"/>
      <c r="BG221" s="20"/>
      <c r="BH221" s="20"/>
      <c r="BI221" s="21"/>
      <c r="BJ221" s="21"/>
    </row>
    <row r="222" spans="1:62" ht="15.75" customHeight="1">
      <c r="A222" s="3"/>
      <c r="B222" s="3"/>
      <c r="C222" s="3"/>
      <c r="D222" s="3"/>
      <c r="E222" s="3"/>
      <c r="F222" s="3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  <c r="AP222" s="20"/>
      <c r="AQ222" s="20"/>
      <c r="AR222" s="20"/>
      <c r="AS222" s="20"/>
      <c r="AT222" s="20"/>
      <c r="AU222" s="20"/>
      <c r="AV222" s="20"/>
      <c r="AW222" s="20"/>
      <c r="AX222" s="20"/>
      <c r="AY222" s="20"/>
      <c r="AZ222" s="20"/>
      <c r="BA222" s="20"/>
      <c r="BB222" s="20"/>
      <c r="BC222" s="20"/>
      <c r="BD222" s="20"/>
      <c r="BE222" s="20"/>
      <c r="BF222" s="20"/>
      <c r="BG222" s="20"/>
      <c r="BH222" s="20"/>
      <c r="BI222" s="21"/>
      <c r="BJ222" s="21"/>
    </row>
    <row r="223" spans="1:62" ht="15.75" customHeight="1">
      <c r="A223" s="3"/>
      <c r="B223" s="3"/>
      <c r="C223" s="3"/>
      <c r="D223" s="3"/>
      <c r="E223" s="3"/>
      <c r="F223" s="3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1"/>
      <c r="BJ223" s="21"/>
    </row>
    <row r="224" spans="1:62" ht="15.75" customHeight="1">
      <c r="A224" s="3"/>
      <c r="B224" s="3"/>
      <c r="C224" s="3"/>
      <c r="D224" s="3"/>
      <c r="E224" s="3"/>
      <c r="F224" s="3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  <c r="AP224" s="20"/>
      <c r="AQ224" s="20"/>
      <c r="AR224" s="20"/>
      <c r="AS224" s="20"/>
      <c r="AT224" s="20"/>
      <c r="AU224" s="20"/>
      <c r="AV224" s="20"/>
      <c r="AW224" s="20"/>
      <c r="AX224" s="20"/>
      <c r="AY224" s="20"/>
      <c r="AZ224" s="20"/>
      <c r="BA224" s="20"/>
      <c r="BB224" s="20"/>
      <c r="BC224" s="20"/>
      <c r="BD224" s="20"/>
      <c r="BE224" s="20"/>
      <c r="BF224" s="20"/>
      <c r="BG224" s="20"/>
      <c r="BH224" s="20"/>
      <c r="BI224" s="21"/>
      <c r="BJ224" s="21"/>
    </row>
    <row r="225" spans="1:62" ht="15.75" customHeight="1">
      <c r="A225" s="3"/>
      <c r="B225" s="3"/>
      <c r="C225" s="3"/>
      <c r="D225" s="3"/>
      <c r="E225" s="3"/>
      <c r="F225" s="3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  <c r="AP225" s="20"/>
      <c r="AQ225" s="20"/>
      <c r="AR225" s="20"/>
      <c r="AS225" s="20"/>
      <c r="AT225" s="20"/>
      <c r="AU225" s="20"/>
      <c r="AV225" s="20"/>
      <c r="AW225" s="20"/>
      <c r="AX225" s="20"/>
      <c r="AY225" s="20"/>
      <c r="AZ225" s="20"/>
      <c r="BA225" s="20"/>
      <c r="BB225" s="20"/>
      <c r="BC225" s="20"/>
      <c r="BD225" s="20"/>
      <c r="BE225" s="20"/>
      <c r="BF225" s="20"/>
      <c r="BG225" s="20"/>
      <c r="BH225" s="20"/>
      <c r="BI225" s="21"/>
      <c r="BJ225" s="21"/>
    </row>
    <row r="226" spans="1:62" ht="15.75" customHeight="1">
      <c r="A226" s="3"/>
      <c r="B226" s="3"/>
      <c r="C226" s="3"/>
      <c r="D226" s="3"/>
      <c r="E226" s="3"/>
      <c r="F226" s="3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  <c r="AP226" s="20"/>
      <c r="AQ226" s="20"/>
      <c r="AR226" s="20"/>
      <c r="AS226" s="20"/>
      <c r="AT226" s="20"/>
      <c r="AU226" s="20"/>
      <c r="AV226" s="20"/>
      <c r="AW226" s="20"/>
      <c r="AX226" s="20"/>
      <c r="AY226" s="20"/>
      <c r="AZ226" s="20"/>
      <c r="BA226" s="20"/>
      <c r="BB226" s="20"/>
      <c r="BC226" s="20"/>
      <c r="BD226" s="20"/>
      <c r="BE226" s="20"/>
      <c r="BF226" s="20"/>
      <c r="BG226" s="20"/>
      <c r="BH226" s="20"/>
      <c r="BI226" s="21"/>
      <c r="BJ226" s="21"/>
    </row>
    <row r="227" spans="1:62" ht="15.75" customHeight="1">
      <c r="A227" s="3"/>
      <c r="B227" s="3"/>
      <c r="C227" s="3"/>
      <c r="D227" s="3"/>
      <c r="E227" s="3"/>
      <c r="F227" s="3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  <c r="AP227" s="20"/>
      <c r="AQ227" s="20"/>
      <c r="AR227" s="20"/>
      <c r="AS227" s="20"/>
      <c r="AT227" s="20"/>
      <c r="AU227" s="20"/>
      <c r="AV227" s="20"/>
      <c r="AW227" s="20"/>
      <c r="AX227" s="20"/>
      <c r="AY227" s="20"/>
      <c r="AZ227" s="20"/>
      <c r="BA227" s="20"/>
      <c r="BB227" s="20"/>
      <c r="BC227" s="20"/>
      <c r="BD227" s="20"/>
      <c r="BE227" s="20"/>
      <c r="BF227" s="20"/>
      <c r="BG227" s="20"/>
      <c r="BH227" s="20"/>
      <c r="BI227" s="21"/>
      <c r="BJ227" s="21"/>
    </row>
    <row r="228" spans="1:62" ht="15.75" customHeight="1">
      <c r="A228" s="3"/>
      <c r="B228" s="3"/>
      <c r="C228" s="3"/>
      <c r="D228" s="3"/>
      <c r="E228" s="3"/>
      <c r="F228" s="3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  <c r="AP228" s="20"/>
      <c r="AQ228" s="20"/>
      <c r="AR228" s="20"/>
      <c r="AS228" s="20"/>
      <c r="AT228" s="20"/>
      <c r="AU228" s="20"/>
      <c r="AV228" s="20"/>
      <c r="AW228" s="20"/>
      <c r="AX228" s="20"/>
      <c r="AY228" s="20"/>
      <c r="AZ228" s="20"/>
      <c r="BA228" s="20"/>
      <c r="BB228" s="20"/>
      <c r="BC228" s="20"/>
      <c r="BD228" s="20"/>
      <c r="BE228" s="20"/>
      <c r="BF228" s="20"/>
      <c r="BG228" s="20"/>
      <c r="BH228" s="20"/>
      <c r="BI228" s="21"/>
      <c r="BJ228" s="21"/>
    </row>
    <row r="229" spans="1:62" ht="15.75" customHeight="1">
      <c r="A229" s="3"/>
      <c r="B229" s="3"/>
      <c r="C229" s="3"/>
      <c r="D229" s="3"/>
      <c r="E229" s="3"/>
      <c r="F229" s="3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  <c r="AP229" s="20"/>
      <c r="AQ229" s="20"/>
      <c r="AR229" s="20"/>
      <c r="AS229" s="20"/>
      <c r="AT229" s="20"/>
      <c r="AU229" s="20"/>
      <c r="AV229" s="20"/>
      <c r="AW229" s="20"/>
      <c r="AX229" s="20"/>
      <c r="AY229" s="20"/>
      <c r="AZ229" s="20"/>
      <c r="BA229" s="20"/>
      <c r="BB229" s="20"/>
      <c r="BC229" s="20"/>
      <c r="BD229" s="20"/>
      <c r="BE229" s="20"/>
      <c r="BF229" s="20"/>
      <c r="BG229" s="20"/>
      <c r="BH229" s="20"/>
      <c r="BI229" s="21"/>
      <c r="BJ229" s="21"/>
    </row>
    <row r="230" spans="1:62" ht="15.75" customHeight="1">
      <c r="A230" s="3"/>
      <c r="B230" s="3"/>
      <c r="C230" s="3"/>
      <c r="D230" s="3"/>
      <c r="E230" s="3"/>
      <c r="F230" s="3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  <c r="AP230" s="20"/>
      <c r="AQ230" s="20"/>
      <c r="AR230" s="20"/>
      <c r="AS230" s="20"/>
      <c r="AT230" s="20"/>
      <c r="AU230" s="20"/>
      <c r="AV230" s="20"/>
      <c r="AW230" s="20"/>
      <c r="AX230" s="20"/>
      <c r="AY230" s="20"/>
      <c r="AZ230" s="20"/>
      <c r="BA230" s="20"/>
      <c r="BB230" s="20"/>
      <c r="BC230" s="20"/>
      <c r="BD230" s="20"/>
      <c r="BE230" s="20"/>
      <c r="BF230" s="20"/>
      <c r="BG230" s="20"/>
      <c r="BH230" s="20"/>
      <c r="BI230" s="21"/>
      <c r="BJ230" s="21"/>
    </row>
    <row r="231" spans="1:62" ht="15.75" customHeight="1">
      <c r="A231" s="3"/>
      <c r="B231" s="3"/>
      <c r="C231" s="3"/>
      <c r="D231" s="3"/>
      <c r="E231" s="3"/>
      <c r="F231" s="3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  <c r="AP231" s="20"/>
      <c r="AQ231" s="20"/>
      <c r="AR231" s="20"/>
      <c r="AS231" s="20"/>
      <c r="AT231" s="20"/>
      <c r="AU231" s="20"/>
      <c r="AV231" s="20"/>
      <c r="AW231" s="20"/>
      <c r="AX231" s="20"/>
      <c r="AY231" s="20"/>
      <c r="AZ231" s="20"/>
      <c r="BA231" s="20"/>
      <c r="BB231" s="20"/>
      <c r="BC231" s="20"/>
      <c r="BD231" s="20"/>
      <c r="BE231" s="20"/>
      <c r="BF231" s="20"/>
      <c r="BG231" s="20"/>
      <c r="BH231" s="20"/>
      <c r="BI231" s="21"/>
      <c r="BJ231" s="21"/>
    </row>
    <row r="232" spans="1:62" ht="15.75" customHeight="1">
      <c r="A232" s="3"/>
      <c r="B232" s="3"/>
      <c r="C232" s="3"/>
      <c r="D232" s="3"/>
      <c r="E232" s="3"/>
      <c r="F232" s="3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  <c r="AP232" s="20"/>
      <c r="AQ232" s="20"/>
      <c r="AR232" s="20"/>
      <c r="AS232" s="20"/>
      <c r="AT232" s="20"/>
      <c r="AU232" s="20"/>
      <c r="AV232" s="20"/>
      <c r="AW232" s="20"/>
      <c r="AX232" s="20"/>
      <c r="AY232" s="20"/>
      <c r="AZ232" s="20"/>
      <c r="BA232" s="20"/>
      <c r="BB232" s="20"/>
      <c r="BC232" s="20"/>
      <c r="BD232" s="20"/>
      <c r="BE232" s="20"/>
      <c r="BF232" s="20"/>
      <c r="BG232" s="20"/>
      <c r="BH232" s="20"/>
      <c r="BI232" s="21"/>
      <c r="BJ232" s="21"/>
    </row>
    <row r="233" spans="1:62" ht="15.75" customHeight="1">
      <c r="A233" s="3"/>
      <c r="B233" s="3"/>
      <c r="C233" s="3"/>
      <c r="D233" s="3"/>
      <c r="E233" s="3"/>
      <c r="F233" s="3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  <c r="AP233" s="20"/>
      <c r="AQ233" s="20"/>
      <c r="AR233" s="20"/>
      <c r="AS233" s="20"/>
      <c r="AT233" s="20"/>
      <c r="AU233" s="20"/>
      <c r="AV233" s="20"/>
      <c r="AW233" s="20"/>
      <c r="AX233" s="20"/>
      <c r="AY233" s="20"/>
      <c r="AZ233" s="20"/>
      <c r="BA233" s="20"/>
      <c r="BB233" s="20"/>
      <c r="BC233" s="20"/>
      <c r="BD233" s="20"/>
      <c r="BE233" s="20"/>
      <c r="BF233" s="20"/>
      <c r="BG233" s="20"/>
      <c r="BH233" s="20"/>
      <c r="BI233" s="21"/>
      <c r="BJ233" s="21"/>
    </row>
    <row r="234" spans="1:62" ht="15.75" customHeight="1">
      <c r="A234" s="3"/>
      <c r="B234" s="3"/>
      <c r="C234" s="3"/>
      <c r="D234" s="3"/>
      <c r="E234" s="3"/>
      <c r="F234" s="3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  <c r="AP234" s="20"/>
      <c r="AQ234" s="20"/>
      <c r="AR234" s="20"/>
      <c r="AS234" s="20"/>
      <c r="AT234" s="20"/>
      <c r="AU234" s="20"/>
      <c r="AV234" s="20"/>
      <c r="AW234" s="20"/>
      <c r="AX234" s="20"/>
      <c r="AY234" s="20"/>
      <c r="AZ234" s="20"/>
      <c r="BA234" s="20"/>
      <c r="BB234" s="20"/>
      <c r="BC234" s="20"/>
      <c r="BD234" s="20"/>
      <c r="BE234" s="20"/>
      <c r="BF234" s="20"/>
      <c r="BG234" s="20"/>
      <c r="BH234" s="20"/>
      <c r="BI234" s="21"/>
      <c r="BJ234" s="21"/>
    </row>
    <row r="235" spans="1:62" ht="15.75" customHeight="1">
      <c r="A235" s="3"/>
      <c r="B235" s="3"/>
      <c r="C235" s="3"/>
      <c r="D235" s="3"/>
      <c r="E235" s="3"/>
      <c r="F235" s="3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  <c r="AP235" s="20"/>
      <c r="AQ235" s="20"/>
      <c r="AR235" s="20"/>
      <c r="AS235" s="20"/>
      <c r="AT235" s="20"/>
      <c r="AU235" s="20"/>
      <c r="AV235" s="20"/>
      <c r="AW235" s="20"/>
      <c r="AX235" s="20"/>
      <c r="AY235" s="20"/>
      <c r="AZ235" s="20"/>
      <c r="BA235" s="20"/>
      <c r="BB235" s="20"/>
      <c r="BC235" s="20"/>
      <c r="BD235" s="20"/>
      <c r="BE235" s="20"/>
      <c r="BF235" s="20"/>
      <c r="BG235" s="20"/>
      <c r="BH235" s="20"/>
      <c r="BI235" s="21"/>
      <c r="BJ235" s="21"/>
    </row>
    <row r="236" spans="1:62" ht="15.75" customHeight="1">
      <c r="A236" s="3"/>
      <c r="B236" s="3"/>
      <c r="C236" s="3"/>
      <c r="D236" s="3"/>
      <c r="E236" s="3"/>
      <c r="F236" s="3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  <c r="AP236" s="20"/>
      <c r="AQ236" s="20"/>
      <c r="AR236" s="20"/>
      <c r="AS236" s="20"/>
      <c r="AT236" s="20"/>
      <c r="AU236" s="20"/>
      <c r="AV236" s="20"/>
      <c r="AW236" s="20"/>
      <c r="AX236" s="20"/>
      <c r="AY236" s="20"/>
      <c r="AZ236" s="20"/>
      <c r="BA236" s="20"/>
      <c r="BB236" s="20"/>
      <c r="BC236" s="20"/>
      <c r="BD236" s="20"/>
      <c r="BE236" s="20"/>
      <c r="BF236" s="20"/>
      <c r="BG236" s="20"/>
      <c r="BH236" s="20"/>
      <c r="BI236" s="21"/>
      <c r="BJ236" s="21"/>
    </row>
    <row r="237" spans="1:62" ht="15.75" customHeight="1">
      <c r="A237" s="3"/>
      <c r="B237" s="3"/>
      <c r="C237" s="3"/>
      <c r="D237" s="3"/>
      <c r="E237" s="3"/>
      <c r="F237" s="3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  <c r="AP237" s="20"/>
      <c r="AQ237" s="20"/>
      <c r="AR237" s="20"/>
      <c r="AS237" s="20"/>
      <c r="AT237" s="20"/>
      <c r="AU237" s="20"/>
      <c r="AV237" s="20"/>
      <c r="AW237" s="20"/>
      <c r="AX237" s="20"/>
      <c r="AY237" s="20"/>
      <c r="AZ237" s="20"/>
      <c r="BA237" s="20"/>
      <c r="BB237" s="20"/>
      <c r="BC237" s="20"/>
      <c r="BD237" s="20"/>
      <c r="BE237" s="20"/>
      <c r="BF237" s="20"/>
      <c r="BG237" s="20"/>
      <c r="BH237" s="20"/>
      <c r="BI237" s="21"/>
      <c r="BJ237" s="21"/>
    </row>
    <row r="238" spans="1:62" ht="15.75" customHeight="1">
      <c r="A238" s="3"/>
      <c r="B238" s="3"/>
      <c r="C238" s="3"/>
      <c r="D238" s="3"/>
      <c r="E238" s="3"/>
      <c r="F238" s="3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  <c r="AP238" s="20"/>
      <c r="AQ238" s="20"/>
      <c r="AR238" s="20"/>
      <c r="AS238" s="20"/>
      <c r="AT238" s="20"/>
      <c r="AU238" s="20"/>
      <c r="AV238" s="20"/>
      <c r="AW238" s="20"/>
      <c r="AX238" s="20"/>
      <c r="AY238" s="20"/>
      <c r="AZ238" s="20"/>
      <c r="BA238" s="20"/>
      <c r="BB238" s="20"/>
      <c r="BC238" s="20"/>
      <c r="BD238" s="20"/>
      <c r="BE238" s="20"/>
      <c r="BF238" s="20"/>
      <c r="BG238" s="20"/>
      <c r="BH238" s="20"/>
      <c r="BI238" s="21"/>
      <c r="BJ238" s="21"/>
    </row>
    <row r="239" spans="1:62" ht="15.75" customHeight="1">
      <c r="A239" s="3"/>
      <c r="B239" s="3"/>
      <c r="C239" s="3"/>
      <c r="D239" s="3"/>
      <c r="E239" s="3"/>
      <c r="F239" s="3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  <c r="AP239" s="20"/>
      <c r="AQ239" s="20"/>
      <c r="AR239" s="20"/>
      <c r="AS239" s="20"/>
      <c r="AT239" s="20"/>
      <c r="AU239" s="20"/>
      <c r="AV239" s="20"/>
      <c r="AW239" s="20"/>
      <c r="AX239" s="20"/>
      <c r="AY239" s="20"/>
      <c r="AZ239" s="20"/>
      <c r="BA239" s="20"/>
      <c r="BB239" s="20"/>
      <c r="BC239" s="20"/>
      <c r="BD239" s="20"/>
      <c r="BE239" s="20"/>
      <c r="BF239" s="20"/>
      <c r="BG239" s="20"/>
      <c r="BH239" s="20"/>
      <c r="BI239" s="21"/>
      <c r="BJ239" s="21"/>
    </row>
    <row r="240" spans="1:62" ht="15.75" customHeight="1">
      <c r="A240" s="3"/>
      <c r="B240" s="3"/>
      <c r="C240" s="3"/>
      <c r="D240" s="3"/>
      <c r="E240" s="3"/>
      <c r="F240" s="3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/>
      <c r="AW240" s="20"/>
      <c r="AX240" s="20"/>
      <c r="AY240" s="20"/>
      <c r="AZ240" s="20"/>
      <c r="BA240" s="20"/>
      <c r="BB240" s="20"/>
      <c r="BC240" s="20"/>
      <c r="BD240" s="20"/>
      <c r="BE240" s="20"/>
      <c r="BF240" s="20"/>
      <c r="BG240" s="20"/>
      <c r="BH240" s="20"/>
      <c r="BI240" s="21"/>
      <c r="BJ240" s="21"/>
    </row>
    <row r="241" spans="1:62" ht="15.75" customHeight="1">
      <c r="A241" s="3"/>
      <c r="B241" s="3"/>
      <c r="C241" s="3"/>
      <c r="D241" s="3"/>
      <c r="E241" s="3"/>
      <c r="F241" s="3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/>
      <c r="AW241" s="20"/>
      <c r="AX241" s="20"/>
      <c r="AY241" s="20"/>
      <c r="AZ241" s="20"/>
      <c r="BA241" s="20"/>
      <c r="BB241" s="20"/>
      <c r="BC241" s="20"/>
      <c r="BD241" s="20"/>
      <c r="BE241" s="20"/>
      <c r="BF241" s="20"/>
      <c r="BG241" s="20"/>
      <c r="BH241" s="20"/>
      <c r="BI241" s="21"/>
      <c r="BJ241" s="21"/>
    </row>
    <row r="242" spans="1:62" ht="15.75" customHeight="1">
      <c r="A242" s="3"/>
      <c r="B242" s="3"/>
      <c r="C242" s="3"/>
      <c r="D242" s="3"/>
      <c r="E242" s="3"/>
      <c r="F242" s="3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/>
      <c r="AW242" s="20"/>
      <c r="AX242" s="20"/>
      <c r="AY242" s="20"/>
      <c r="AZ242" s="20"/>
      <c r="BA242" s="20"/>
      <c r="BB242" s="20"/>
      <c r="BC242" s="20"/>
      <c r="BD242" s="20"/>
      <c r="BE242" s="20"/>
      <c r="BF242" s="20"/>
      <c r="BG242" s="20"/>
      <c r="BH242" s="20"/>
      <c r="BI242" s="21"/>
      <c r="BJ242" s="21"/>
    </row>
    <row r="243" spans="1:62" ht="15.75" customHeight="1">
      <c r="A243" s="3"/>
      <c r="B243" s="3"/>
      <c r="C243" s="3"/>
      <c r="D243" s="3"/>
      <c r="E243" s="3"/>
      <c r="F243" s="3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/>
      <c r="AW243" s="20"/>
      <c r="AX243" s="20"/>
      <c r="AY243" s="20"/>
      <c r="AZ243" s="20"/>
      <c r="BA243" s="20"/>
      <c r="BB243" s="20"/>
      <c r="BC243" s="20"/>
      <c r="BD243" s="20"/>
      <c r="BE243" s="20"/>
      <c r="BF243" s="20"/>
      <c r="BG243" s="20"/>
      <c r="BH243" s="20"/>
      <c r="BI243" s="21"/>
      <c r="BJ243" s="21"/>
    </row>
    <row r="244" spans="1:62" ht="15.75" customHeight="1">
      <c r="A244" s="3"/>
      <c r="B244" s="3"/>
      <c r="C244" s="3"/>
      <c r="D244" s="3"/>
      <c r="E244" s="3"/>
      <c r="F244" s="3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/>
      <c r="AW244" s="20"/>
      <c r="AX244" s="20"/>
      <c r="AY244" s="20"/>
      <c r="AZ244" s="20"/>
      <c r="BA244" s="20"/>
      <c r="BB244" s="20"/>
      <c r="BC244" s="20"/>
      <c r="BD244" s="20"/>
      <c r="BE244" s="20"/>
      <c r="BF244" s="20"/>
      <c r="BG244" s="20"/>
      <c r="BH244" s="20"/>
      <c r="BI244" s="21"/>
      <c r="BJ244" s="21"/>
    </row>
    <row r="245" spans="1:62" ht="15.75" customHeight="1">
      <c r="A245" s="3"/>
      <c r="B245" s="3"/>
      <c r="C245" s="3"/>
      <c r="D245" s="3"/>
      <c r="E245" s="3"/>
      <c r="F245" s="3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/>
      <c r="AW245" s="20"/>
      <c r="AX245" s="20"/>
      <c r="AY245" s="20"/>
      <c r="AZ245" s="20"/>
      <c r="BA245" s="20"/>
      <c r="BB245" s="20"/>
      <c r="BC245" s="20"/>
      <c r="BD245" s="20"/>
      <c r="BE245" s="20"/>
      <c r="BF245" s="20"/>
      <c r="BG245" s="20"/>
      <c r="BH245" s="20"/>
      <c r="BI245" s="21"/>
      <c r="BJ245" s="21"/>
    </row>
    <row r="246" spans="1:62" ht="15.75" customHeight="1">
      <c r="A246" s="3"/>
      <c r="B246" s="3"/>
      <c r="C246" s="3"/>
      <c r="D246" s="3"/>
      <c r="E246" s="3"/>
      <c r="F246" s="3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/>
      <c r="AW246" s="20"/>
      <c r="AX246" s="20"/>
      <c r="AY246" s="20"/>
      <c r="AZ246" s="20"/>
      <c r="BA246" s="20"/>
      <c r="BB246" s="20"/>
      <c r="BC246" s="20"/>
      <c r="BD246" s="20"/>
      <c r="BE246" s="20"/>
      <c r="BF246" s="20"/>
      <c r="BG246" s="20"/>
      <c r="BH246" s="20"/>
      <c r="BI246" s="21"/>
      <c r="BJ246" s="21"/>
    </row>
    <row r="247" spans="1:62" ht="15.75" customHeight="1">
      <c r="A247" s="3"/>
      <c r="B247" s="3"/>
      <c r="C247" s="3"/>
      <c r="D247" s="3"/>
      <c r="E247" s="3"/>
      <c r="F247" s="3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/>
      <c r="AW247" s="20"/>
      <c r="AX247" s="20"/>
      <c r="AY247" s="20"/>
      <c r="AZ247" s="20"/>
      <c r="BA247" s="20"/>
      <c r="BB247" s="20"/>
      <c r="BC247" s="20"/>
      <c r="BD247" s="20"/>
      <c r="BE247" s="20"/>
      <c r="BF247" s="20"/>
      <c r="BG247" s="20"/>
      <c r="BH247" s="20"/>
      <c r="BI247" s="21"/>
      <c r="BJ247" s="21"/>
    </row>
    <row r="248" spans="1:62" ht="15.75" customHeight="1">
      <c r="A248" s="3"/>
      <c r="B248" s="3"/>
      <c r="C248" s="3"/>
      <c r="D248" s="3"/>
      <c r="E248" s="3"/>
      <c r="F248" s="3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/>
      <c r="AW248" s="20"/>
      <c r="AX248" s="20"/>
      <c r="AY248" s="20"/>
      <c r="AZ248" s="20"/>
      <c r="BA248" s="20"/>
      <c r="BB248" s="20"/>
      <c r="BC248" s="20"/>
      <c r="BD248" s="20"/>
      <c r="BE248" s="20"/>
      <c r="BF248" s="20"/>
      <c r="BG248" s="20"/>
      <c r="BH248" s="20"/>
      <c r="BI248" s="21"/>
      <c r="BJ248" s="21"/>
    </row>
    <row r="249" spans="1:62" ht="15.75" customHeight="1">
      <c r="A249" s="3"/>
      <c r="B249" s="3"/>
      <c r="C249" s="3"/>
      <c r="D249" s="3"/>
      <c r="E249" s="3"/>
      <c r="F249" s="3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/>
      <c r="AW249" s="20"/>
      <c r="AX249" s="20"/>
      <c r="AY249" s="20"/>
      <c r="AZ249" s="20"/>
      <c r="BA249" s="20"/>
      <c r="BB249" s="20"/>
      <c r="BC249" s="20"/>
      <c r="BD249" s="20"/>
      <c r="BE249" s="20"/>
      <c r="BF249" s="20"/>
      <c r="BG249" s="20"/>
      <c r="BH249" s="20"/>
      <c r="BI249" s="21"/>
      <c r="BJ249" s="21"/>
    </row>
    <row r="250" spans="1:62" ht="15.75" customHeight="1">
      <c r="A250" s="3"/>
      <c r="B250" s="3"/>
      <c r="C250" s="3"/>
      <c r="D250" s="3"/>
      <c r="E250" s="3"/>
      <c r="F250" s="3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1"/>
      <c r="BJ250" s="21"/>
    </row>
    <row r="251" spans="1:62" ht="15.75" customHeight="1">
      <c r="A251" s="3"/>
      <c r="B251" s="3"/>
      <c r="C251" s="3"/>
      <c r="D251" s="3"/>
      <c r="E251" s="3"/>
      <c r="F251" s="3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/>
      <c r="AW251" s="20"/>
      <c r="AX251" s="20"/>
      <c r="AY251" s="20"/>
      <c r="AZ251" s="20"/>
      <c r="BA251" s="20"/>
      <c r="BB251" s="20"/>
      <c r="BC251" s="20"/>
      <c r="BD251" s="20"/>
      <c r="BE251" s="20"/>
      <c r="BF251" s="20"/>
      <c r="BG251" s="20"/>
      <c r="BH251" s="20"/>
      <c r="BI251" s="21"/>
      <c r="BJ251" s="21"/>
    </row>
    <row r="252" spans="1:62" ht="15.75" customHeight="1">
      <c r="A252" s="3"/>
      <c r="B252" s="3"/>
      <c r="C252" s="3"/>
      <c r="D252" s="3"/>
      <c r="E252" s="3"/>
      <c r="F252" s="3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/>
      <c r="AW252" s="20"/>
      <c r="AX252" s="20"/>
      <c r="AY252" s="20"/>
      <c r="AZ252" s="20"/>
      <c r="BA252" s="20"/>
      <c r="BB252" s="20"/>
      <c r="BC252" s="20"/>
      <c r="BD252" s="20"/>
      <c r="BE252" s="20"/>
      <c r="BF252" s="20"/>
      <c r="BG252" s="20"/>
      <c r="BH252" s="20"/>
      <c r="BI252" s="21"/>
      <c r="BJ252" s="21"/>
    </row>
    <row r="253" spans="1:62" ht="15.75" customHeight="1">
      <c r="A253" s="3"/>
      <c r="B253" s="3"/>
      <c r="C253" s="3"/>
      <c r="D253" s="3"/>
      <c r="E253" s="3"/>
      <c r="F253" s="3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/>
      <c r="AW253" s="20"/>
      <c r="AX253" s="20"/>
      <c r="AY253" s="20"/>
      <c r="AZ253" s="20"/>
      <c r="BA253" s="20"/>
      <c r="BB253" s="20"/>
      <c r="BC253" s="20"/>
      <c r="BD253" s="20"/>
      <c r="BE253" s="20"/>
      <c r="BF253" s="20"/>
      <c r="BG253" s="20"/>
      <c r="BH253" s="20"/>
      <c r="BI253" s="21"/>
      <c r="BJ253" s="21"/>
    </row>
    <row r="254" spans="1:62" ht="15.75" customHeight="1">
      <c r="A254" s="3"/>
      <c r="B254" s="3"/>
      <c r="C254" s="3"/>
      <c r="D254" s="3"/>
      <c r="E254" s="3"/>
      <c r="F254" s="3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/>
      <c r="AW254" s="20"/>
      <c r="AX254" s="20"/>
      <c r="AY254" s="20"/>
      <c r="AZ254" s="20"/>
      <c r="BA254" s="20"/>
      <c r="BB254" s="20"/>
      <c r="BC254" s="20"/>
      <c r="BD254" s="20"/>
      <c r="BE254" s="20"/>
      <c r="BF254" s="20"/>
      <c r="BG254" s="20"/>
      <c r="BH254" s="20"/>
      <c r="BI254" s="21"/>
      <c r="BJ254" s="21"/>
    </row>
    <row r="255" spans="1:62" ht="15.75" customHeight="1">
      <c r="A255" s="3"/>
      <c r="B255" s="3"/>
      <c r="C255" s="3"/>
      <c r="D255" s="3"/>
      <c r="E255" s="3"/>
      <c r="F255" s="3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/>
      <c r="AW255" s="20"/>
      <c r="AX255" s="20"/>
      <c r="AY255" s="20"/>
      <c r="AZ255" s="20"/>
      <c r="BA255" s="20"/>
      <c r="BB255" s="20"/>
      <c r="BC255" s="20"/>
      <c r="BD255" s="20"/>
      <c r="BE255" s="20"/>
      <c r="BF255" s="20"/>
      <c r="BG255" s="20"/>
      <c r="BH255" s="20"/>
      <c r="BI255" s="21"/>
      <c r="BJ255" s="21"/>
    </row>
    <row r="256" spans="1:62" ht="15.75" customHeight="1">
      <c r="A256" s="3"/>
      <c r="B256" s="3"/>
      <c r="C256" s="3"/>
      <c r="D256" s="3"/>
      <c r="E256" s="3"/>
      <c r="F256" s="3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/>
      <c r="AW256" s="20"/>
      <c r="AX256" s="20"/>
      <c r="AY256" s="20"/>
      <c r="AZ256" s="20"/>
      <c r="BA256" s="20"/>
      <c r="BB256" s="20"/>
      <c r="BC256" s="20"/>
      <c r="BD256" s="20"/>
      <c r="BE256" s="20"/>
      <c r="BF256" s="20"/>
      <c r="BG256" s="20"/>
      <c r="BH256" s="20"/>
      <c r="BI256" s="21"/>
      <c r="BJ256" s="21"/>
    </row>
    <row r="257" spans="1:62" ht="15.75" customHeight="1">
      <c r="A257" s="3"/>
      <c r="B257" s="3"/>
      <c r="C257" s="3"/>
      <c r="D257" s="3"/>
      <c r="E257" s="3"/>
      <c r="F257" s="3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/>
      <c r="AW257" s="20"/>
      <c r="AX257" s="20"/>
      <c r="AY257" s="20"/>
      <c r="AZ257" s="20"/>
      <c r="BA257" s="20"/>
      <c r="BB257" s="20"/>
      <c r="BC257" s="20"/>
      <c r="BD257" s="20"/>
      <c r="BE257" s="20"/>
      <c r="BF257" s="20"/>
      <c r="BG257" s="20"/>
      <c r="BH257" s="20"/>
      <c r="BI257" s="21"/>
      <c r="BJ257" s="21"/>
    </row>
    <row r="258" spans="1:62" ht="15.75" customHeight="1">
      <c r="A258" s="3"/>
      <c r="B258" s="3"/>
      <c r="C258" s="3"/>
      <c r="D258" s="3"/>
      <c r="E258" s="3"/>
      <c r="F258" s="3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/>
      <c r="AW258" s="20"/>
      <c r="AX258" s="20"/>
      <c r="AY258" s="20"/>
      <c r="AZ258" s="20"/>
      <c r="BA258" s="20"/>
      <c r="BB258" s="20"/>
      <c r="BC258" s="20"/>
      <c r="BD258" s="20"/>
      <c r="BE258" s="20"/>
      <c r="BF258" s="20"/>
      <c r="BG258" s="20"/>
      <c r="BH258" s="20"/>
      <c r="BI258" s="21"/>
      <c r="BJ258" s="21"/>
    </row>
    <row r="259" spans="1:62" ht="15.75" customHeight="1">
      <c r="A259" s="3"/>
      <c r="B259" s="3"/>
      <c r="C259" s="3"/>
      <c r="D259" s="3"/>
      <c r="E259" s="3"/>
      <c r="F259" s="3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/>
      <c r="AW259" s="20"/>
      <c r="AX259" s="20"/>
      <c r="AY259" s="20"/>
      <c r="AZ259" s="20"/>
      <c r="BA259" s="20"/>
      <c r="BB259" s="20"/>
      <c r="BC259" s="20"/>
      <c r="BD259" s="20"/>
      <c r="BE259" s="20"/>
      <c r="BF259" s="20"/>
      <c r="BG259" s="20"/>
      <c r="BH259" s="20"/>
      <c r="BI259" s="21"/>
      <c r="BJ259" s="21"/>
    </row>
    <row r="260" spans="1:62" ht="15.75" customHeight="1">
      <c r="A260" s="3"/>
      <c r="B260" s="3"/>
      <c r="C260" s="3"/>
      <c r="D260" s="3"/>
      <c r="E260" s="3"/>
      <c r="F260" s="3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/>
      <c r="AW260" s="20"/>
      <c r="AX260" s="20"/>
      <c r="AY260" s="20"/>
      <c r="AZ260" s="20"/>
      <c r="BA260" s="20"/>
      <c r="BB260" s="20"/>
      <c r="BC260" s="20"/>
      <c r="BD260" s="20"/>
      <c r="BE260" s="20"/>
      <c r="BF260" s="20"/>
      <c r="BG260" s="20"/>
      <c r="BH260" s="20"/>
      <c r="BI260" s="21"/>
      <c r="BJ260" s="21"/>
    </row>
    <row r="261" spans="1:62" ht="15.75" customHeight="1">
      <c r="A261" s="3"/>
      <c r="B261" s="3"/>
      <c r="C261" s="3"/>
      <c r="D261" s="3"/>
      <c r="E261" s="3"/>
      <c r="F261" s="3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/>
      <c r="AW261" s="20"/>
      <c r="AX261" s="20"/>
      <c r="AY261" s="20"/>
      <c r="AZ261" s="20"/>
      <c r="BA261" s="20"/>
      <c r="BB261" s="20"/>
      <c r="BC261" s="20"/>
      <c r="BD261" s="20"/>
      <c r="BE261" s="20"/>
      <c r="BF261" s="20"/>
      <c r="BG261" s="20"/>
      <c r="BH261" s="20"/>
      <c r="BI261" s="21"/>
      <c r="BJ261" s="21"/>
    </row>
    <row r="262" spans="1:62" ht="15.75" customHeight="1">
      <c r="A262" s="3"/>
      <c r="B262" s="3"/>
      <c r="C262" s="3"/>
      <c r="D262" s="3"/>
      <c r="E262" s="3"/>
      <c r="F262" s="3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/>
      <c r="AW262" s="20"/>
      <c r="AX262" s="20"/>
      <c r="AY262" s="20"/>
      <c r="AZ262" s="20"/>
      <c r="BA262" s="20"/>
      <c r="BB262" s="20"/>
      <c r="BC262" s="20"/>
      <c r="BD262" s="20"/>
      <c r="BE262" s="20"/>
      <c r="BF262" s="20"/>
      <c r="BG262" s="20"/>
      <c r="BH262" s="20"/>
      <c r="BI262" s="21"/>
      <c r="BJ262" s="21"/>
    </row>
    <row r="263" spans="1:62" ht="15.75" customHeight="1">
      <c r="A263" s="3"/>
      <c r="B263" s="3"/>
      <c r="C263" s="3"/>
      <c r="D263" s="3"/>
      <c r="E263" s="3"/>
      <c r="F263" s="3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/>
      <c r="AW263" s="20"/>
      <c r="AX263" s="20"/>
      <c r="AY263" s="20"/>
      <c r="AZ263" s="20"/>
      <c r="BA263" s="20"/>
      <c r="BB263" s="20"/>
      <c r="BC263" s="20"/>
      <c r="BD263" s="20"/>
      <c r="BE263" s="20"/>
      <c r="BF263" s="20"/>
      <c r="BG263" s="20"/>
      <c r="BH263" s="20"/>
      <c r="BI263" s="21"/>
      <c r="BJ263" s="21"/>
    </row>
    <row r="264" spans="1:62" ht="15.75" customHeight="1">
      <c r="A264" s="3"/>
      <c r="B264" s="3"/>
      <c r="C264" s="3"/>
      <c r="D264" s="3"/>
      <c r="E264" s="3"/>
      <c r="F264" s="3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/>
      <c r="AW264" s="20"/>
      <c r="AX264" s="20"/>
      <c r="AY264" s="20"/>
      <c r="AZ264" s="20"/>
      <c r="BA264" s="20"/>
      <c r="BB264" s="20"/>
      <c r="BC264" s="20"/>
      <c r="BD264" s="20"/>
      <c r="BE264" s="20"/>
      <c r="BF264" s="20"/>
      <c r="BG264" s="20"/>
      <c r="BH264" s="20"/>
      <c r="BI264" s="21"/>
      <c r="BJ264" s="21"/>
    </row>
    <row r="265" spans="1:62" ht="15.75" customHeight="1">
      <c r="A265" s="3"/>
      <c r="B265" s="3"/>
      <c r="C265" s="3"/>
      <c r="D265" s="3"/>
      <c r="E265" s="3"/>
      <c r="F265" s="3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/>
      <c r="AW265" s="20"/>
      <c r="AX265" s="20"/>
      <c r="AY265" s="20"/>
      <c r="AZ265" s="20"/>
      <c r="BA265" s="20"/>
      <c r="BB265" s="20"/>
      <c r="BC265" s="20"/>
      <c r="BD265" s="20"/>
      <c r="BE265" s="20"/>
      <c r="BF265" s="20"/>
      <c r="BG265" s="20"/>
      <c r="BH265" s="20"/>
      <c r="BI265" s="21"/>
      <c r="BJ265" s="21"/>
    </row>
    <row r="266" spans="1:62" ht="15.75" customHeight="1">
      <c r="A266" s="3"/>
      <c r="B266" s="3"/>
      <c r="C266" s="3"/>
      <c r="D266" s="3"/>
      <c r="E266" s="3"/>
      <c r="F266" s="3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/>
      <c r="AW266" s="20"/>
      <c r="AX266" s="20"/>
      <c r="AY266" s="20"/>
      <c r="AZ266" s="20"/>
      <c r="BA266" s="20"/>
      <c r="BB266" s="20"/>
      <c r="BC266" s="20"/>
      <c r="BD266" s="20"/>
      <c r="BE266" s="20"/>
      <c r="BF266" s="20"/>
      <c r="BG266" s="20"/>
      <c r="BH266" s="20"/>
      <c r="BI266" s="21"/>
      <c r="BJ266" s="21"/>
    </row>
    <row r="267" spans="1:62" ht="15.75" customHeight="1">
      <c r="A267" s="3"/>
      <c r="B267" s="3"/>
      <c r="C267" s="3"/>
      <c r="D267" s="3"/>
      <c r="E267" s="3"/>
      <c r="F267" s="3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/>
      <c r="AW267" s="20"/>
      <c r="AX267" s="20"/>
      <c r="AY267" s="20"/>
      <c r="AZ267" s="20"/>
      <c r="BA267" s="20"/>
      <c r="BB267" s="20"/>
      <c r="BC267" s="20"/>
      <c r="BD267" s="20"/>
      <c r="BE267" s="20"/>
      <c r="BF267" s="20"/>
      <c r="BG267" s="20"/>
      <c r="BH267" s="20"/>
      <c r="BI267" s="21"/>
      <c r="BJ267" s="21"/>
    </row>
    <row r="268" spans="1:62" ht="15.75" customHeight="1">
      <c r="A268" s="3"/>
      <c r="B268" s="3"/>
      <c r="C268" s="3"/>
      <c r="D268" s="3"/>
      <c r="E268" s="3"/>
      <c r="F268" s="3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1"/>
      <c r="BJ268" s="21"/>
    </row>
    <row r="269" spans="1:62" ht="15.75" customHeight="1">
      <c r="A269" s="3"/>
      <c r="B269" s="3"/>
      <c r="C269" s="3"/>
      <c r="D269" s="3"/>
      <c r="E269" s="3"/>
      <c r="F269" s="3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/>
      <c r="AW269" s="20"/>
      <c r="AX269" s="20"/>
      <c r="AY269" s="20"/>
      <c r="AZ269" s="20"/>
      <c r="BA269" s="20"/>
      <c r="BB269" s="20"/>
      <c r="BC269" s="20"/>
      <c r="BD269" s="20"/>
      <c r="BE269" s="20"/>
      <c r="BF269" s="20"/>
      <c r="BG269" s="20"/>
      <c r="BH269" s="20"/>
      <c r="BI269" s="21"/>
      <c r="BJ269" s="21"/>
    </row>
    <row r="270" spans="1:62" ht="15.75" customHeight="1">
      <c r="A270" s="3"/>
      <c r="B270" s="3"/>
      <c r="C270" s="3"/>
      <c r="D270" s="3"/>
      <c r="E270" s="3"/>
      <c r="F270" s="3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/>
      <c r="AW270" s="20"/>
      <c r="AX270" s="20"/>
      <c r="AY270" s="20"/>
      <c r="AZ270" s="20"/>
      <c r="BA270" s="20"/>
      <c r="BB270" s="20"/>
      <c r="BC270" s="20"/>
      <c r="BD270" s="20"/>
      <c r="BE270" s="20"/>
      <c r="BF270" s="20"/>
      <c r="BG270" s="20"/>
      <c r="BH270" s="20"/>
      <c r="BI270" s="21"/>
      <c r="BJ270" s="21"/>
    </row>
    <row r="271" spans="1:62" ht="15.75" customHeight="1">
      <c r="A271" s="3"/>
      <c r="B271" s="3"/>
      <c r="C271" s="3"/>
      <c r="D271" s="3"/>
      <c r="E271" s="3"/>
      <c r="F271" s="3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/>
      <c r="AW271" s="20"/>
      <c r="AX271" s="20"/>
      <c r="AY271" s="20"/>
      <c r="AZ271" s="20"/>
      <c r="BA271" s="20"/>
      <c r="BB271" s="20"/>
      <c r="BC271" s="20"/>
      <c r="BD271" s="20"/>
      <c r="BE271" s="20"/>
      <c r="BF271" s="20"/>
      <c r="BG271" s="20"/>
      <c r="BH271" s="20"/>
      <c r="BI271" s="21"/>
      <c r="BJ271" s="21"/>
    </row>
    <row r="272" spans="1:62" ht="15.75" customHeight="1">
      <c r="A272" s="3"/>
      <c r="B272" s="3"/>
      <c r="C272" s="3"/>
      <c r="D272" s="3"/>
      <c r="E272" s="3"/>
      <c r="F272" s="3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/>
      <c r="AW272" s="20"/>
      <c r="AX272" s="20"/>
      <c r="AY272" s="20"/>
      <c r="AZ272" s="20"/>
      <c r="BA272" s="20"/>
      <c r="BB272" s="20"/>
      <c r="BC272" s="20"/>
      <c r="BD272" s="20"/>
      <c r="BE272" s="20"/>
      <c r="BF272" s="20"/>
      <c r="BG272" s="20"/>
      <c r="BH272" s="20"/>
      <c r="BI272" s="21"/>
      <c r="BJ272" s="21"/>
    </row>
    <row r="273" spans="1:62" ht="15.75" customHeight="1">
      <c r="A273" s="3"/>
      <c r="B273" s="3"/>
      <c r="C273" s="3"/>
      <c r="D273" s="3"/>
      <c r="E273" s="3"/>
      <c r="F273" s="3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/>
      <c r="AW273" s="20"/>
      <c r="AX273" s="20"/>
      <c r="AY273" s="20"/>
      <c r="AZ273" s="20"/>
      <c r="BA273" s="20"/>
      <c r="BB273" s="20"/>
      <c r="BC273" s="20"/>
      <c r="BD273" s="20"/>
      <c r="BE273" s="20"/>
      <c r="BF273" s="20"/>
      <c r="BG273" s="20"/>
      <c r="BH273" s="20"/>
      <c r="BI273" s="21"/>
      <c r="BJ273" s="21"/>
    </row>
    <row r="274" spans="1:62" ht="15.75" customHeight="1">
      <c r="A274" s="3"/>
      <c r="B274" s="3"/>
      <c r="C274" s="3"/>
      <c r="D274" s="3"/>
      <c r="E274" s="3"/>
      <c r="F274" s="3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/>
      <c r="AW274" s="20"/>
      <c r="AX274" s="20"/>
      <c r="AY274" s="20"/>
      <c r="AZ274" s="20"/>
      <c r="BA274" s="20"/>
      <c r="BB274" s="20"/>
      <c r="BC274" s="20"/>
      <c r="BD274" s="20"/>
      <c r="BE274" s="20"/>
      <c r="BF274" s="20"/>
      <c r="BG274" s="20"/>
      <c r="BH274" s="20"/>
      <c r="BI274" s="21"/>
      <c r="BJ274" s="21"/>
    </row>
    <row r="275" spans="1:62" ht="15.75" customHeight="1">
      <c r="A275" s="3"/>
      <c r="B275" s="3"/>
      <c r="C275" s="3"/>
      <c r="D275" s="3"/>
      <c r="E275" s="3"/>
      <c r="F275" s="3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/>
      <c r="AW275" s="20"/>
      <c r="AX275" s="20"/>
      <c r="AY275" s="20"/>
      <c r="AZ275" s="20"/>
      <c r="BA275" s="20"/>
      <c r="BB275" s="20"/>
      <c r="BC275" s="20"/>
      <c r="BD275" s="20"/>
      <c r="BE275" s="20"/>
      <c r="BF275" s="20"/>
      <c r="BG275" s="20"/>
      <c r="BH275" s="20"/>
      <c r="BI275" s="21"/>
      <c r="BJ275" s="21"/>
    </row>
    <row r="276" spans="1:62" ht="15.75" customHeight="1">
      <c r="A276" s="3"/>
      <c r="B276" s="3"/>
      <c r="C276" s="3"/>
      <c r="D276" s="3"/>
      <c r="E276" s="3"/>
      <c r="F276" s="3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/>
      <c r="AW276" s="20"/>
      <c r="AX276" s="20"/>
      <c r="AY276" s="20"/>
      <c r="AZ276" s="20"/>
      <c r="BA276" s="20"/>
      <c r="BB276" s="20"/>
      <c r="BC276" s="20"/>
      <c r="BD276" s="20"/>
      <c r="BE276" s="20"/>
      <c r="BF276" s="20"/>
      <c r="BG276" s="20"/>
      <c r="BH276" s="20"/>
      <c r="BI276" s="21"/>
      <c r="BJ276" s="21"/>
    </row>
    <row r="277" spans="1:62" ht="15.75" customHeight="1">
      <c r="A277" s="3"/>
      <c r="B277" s="3"/>
      <c r="C277" s="3"/>
      <c r="D277" s="3"/>
      <c r="E277" s="3"/>
      <c r="F277" s="3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/>
      <c r="AW277" s="20"/>
      <c r="AX277" s="20"/>
      <c r="AY277" s="20"/>
      <c r="AZ277" s="20"/>
      <c r="BA277" s="20"/>
      <c r="BB277" s="20"/>
      <c r="BC277" s="20"/>
      <c r="BD277" s="20"/>
      <c r="BE277" s="20"/>
      <c r="BF277" s="20"/>
      <c r="BG277" s="20"/>
      <c r="BH277" s="20"/>
      <c r="BI277" s="21"/>
      <c r="BJ277" s="21"/>
    </row>
    <row r="278" spans="1:62" ht="15.75" customHeight="1">
      <c r="A278" s="3"/>
      <c r="B278" s="3"/>
      <c r="C278" s="3"/>
      <c r="D278" s="3"/>
      <c r="E278" s="3"/>
      <c r="F278" s="3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/>
      <c r="AW278" s="20"/>
      <c r="AX278" s="20"/>
      <c r="AY278" s="20"/>
      <c r="AZ278" s="20"/>
      <c r="BA278" s="20"/>
      <c r="BB278" s="20"/>
      <c r="BC278" s="20"/>
      <c r="BD278" s="20"/>
      <c r="BE278" s="20"/>
      <c r="BF278" s="20"/>
      <c r="BG278" s="20"/>
      <c r="BH278" s="20"/>
      <c r="BI278" s="21"/>
      <c r="BJ278" s="21"/>
    </row>
    <row r="279" spans="1:62" ht="15.75" customHeight="1">
      <c r="A279" s="3"/>
      <c r="B279" s="3"/>
      <c r="C279" s="3"/>
      <c r="D279" s="3"/>
      <c r="E279" s="3"/>
      <c r="F279" s="3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/>
      <c r="AW279" s="20"/>
      <c r="AX279" s="20"/>
      <c r="AY279" s="20"/>
      <c r="AZ279" s="20"/>
      <c r="BA279" s="20"/>
      <c r="BB279" s="20"/>
      <c r="BC279" s="20"/>
      <c r="BD279" s="20"/>
      <c r="BE279" s="20"/>
      <c r="BF279" s="20"/>
      <c r="BG279" s="20"/>
      <c r="BH279" s="20"/>
      <c r="BI279" s="21"/>
      <c r="BJ279" s="21"/>
    </row>
    <row r="280" spans="1:62" ht="15.75" customHeight="1">
      <c r="A280" s="3"/>
      <c r="B280" s="3"/>
      <c r="C280" s="3"/>
      <c r="D280" s="3"/>
      <c r="E280" s="3"/>
      <c r="F280" s="3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/>
      <c r="AW280" s="20"/>
      <c r="AX280" s="20"/>
      <c r="AY280" s="20"/>
      <c r="AZ280" s="20"/>
      <c r="BA280" s="20"/>
      <c r="BB280" s="20"/>
      <c r="BC280" s="20"/>
      <c r="BD280" s="20"/>
      <c r="BE280" s="20"/>
      <c r="BF280" s="20"/>
      <c r="BG280" s="20"/>
      <c r="BH280" s="20"/>
      <c r="BI280" s="21"/>
      <c r="BJ280" s="21"/>
    </row>
    <row r="281" spans="1:62" ht="15.75" customHeight="1">
      <c r="A281" s="3"/>
      <c r="B281" s="3"/>
      <c r="C281" s="3"/>
      <c r="D281" s="3"/>
      <c r="E281" s="3"/>
      <c r="F281" s="3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/>
      <c r="AW281" s="20"/>
      <c r="AX281" s="20"/>
      <c r="AY281" s="20"/>
      <c r="AZ281" s="20"/>
      <c r="BA281" s="20"/>
      <c r="BB281" s="20"/>
      <c r="BC281" s="20"/>
      <c r="BD281" s="20"/>
      <c r="BE281" s="20"/>
      <c r="BF281" s="20"/>
      <c r="BG281" s="20"/>
      <c r="BH281" s="20"/>
      <c r="BI281" s="21"/>
      <c r="BJ281" s="21"/>
    </row>
    <row r="282" spans="1:62" ht="15.75" customHeight="1">
      <c r="A282" s="3"/>
      <c r="B282" s="3"/>
      <c r="C282" s="3"/>
      <c r="D282" s="3"/>
      <c r="E282" s="3"/>
      <c r="F282" s="3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/>
      <c r="AW282" s="20"/>
      <c r="AX282" s="20"/>
      <c r="AY282" s="20"/>
      <c r="AZ282" s="20"/>
      <c r="BA282" s="20"/>
      <c r="BB282" s="20"/>
      <c r="BC282" s="20"/>
      <c r="BD282" s="20"/>
      <c r="BE282" s="20"/>
      <c r="BF282" s="20"/>
      <c r="BG282" s="20"/>
      <c r="BH282" s="20"/>
      <c r="BI282" s="21"/>
      <c r="BJ282" s="21"/>
    </row>
    <row r="283" spans="1:62" ht="15.75" customHeight="1">
      <c r="A283" s="3"/>
      <c r="B283" s="3"/>
      <c r="C283" s="3"/>
      <c r="D283" s="3"/>
      <c r="E283" s="3"/>
      <c r="F283" s="3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/>
      <c r="AW283" s="20"/>
      <c r="AX283" s="20"/>
      <c r="AY283" s="20"/>
      <c r="AZ283" s="20"/>
      <c r="BA283" s="20"/>
      <c r="BB283" s="20"/>
      <c r="BC283" s="20"/>
      <c r="BD283" s="20"/>
      <c r="BE283" s="20"/>
      <c r="BF283" s="20"/>
      <c r="BG283" s="20"/>
      <c r="BH283" s="20"/>
      <c r="BI283" s="21"/>
      <c r="BJ283" s="21"/>
    </row>
    <row r="284" spans="1:62" ht="15.75" customHeight="1">
      <c r="A284" s="3"/>
      <c r="B284" s="3"/>
      <c r="C284" s="3"/>
      <c r="D284" s="3"/>
      <c r="E284" s="3"/>
      <c r="F284" s="3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/>
      <c r="AW284" s="20"/>
      <c r="AX284" s="20"/>
      <c r="AY284" s="20"/>
      <c r="AZ284" s="20"/>
      <c r="BA284" s="20"/>
      <c r="BB284" s="20"/>
      <c r="BC284" s="20"/>
      <c r="BD284" s="20"/>
      <c r="BE284" s="20"/>
      <c r="BF284" s="20"/>
      <c r="BG284" s="20"/>
      <c r="BH284" s="20"/>
      <c r="BI284" s="21"/>
      <c r="BJ284" s="21"/>
    </row>
    <row r="285" spans="1:62" ht="15.75" customHeight="1">
      <c r="A285" s="3"/>
      <c r="B285" s="3"/>
      <c r="C285" s="3"/>
      <c r="D285" s="3"/>
      <c r="E285" s="3"/>
      <c r="F285" s="3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/>
      <c r="AW285" s="20"/>
      <c r="AX285" s="20"/>
      <c r="AY285" s="20"/>
      <c r="AZ285" s="20"/>
      <c r="BA285" s="20"/>
      <c r="BB285" s="20"/>
      <c r="BC285" s="20"/>
      <c r="BD285" s="20"/>
      <c r="BE285" s="20"/>
      <c r="BF285" s="20"/>
      <c r="BG285" s="20"/>
      <c r="BH285" s="20"/>
      <c r="BI285" s="21"/>
      <c r="BJ285" s="21"/>
    </row>
    <row r="286" spans="1:62" ht="15.75" customHeight="1">
      <c r="A286" s="3"/>
      <c r="B286" s="3"/>
      <c r="C286" s="3"/>
      <c r="D286" s="3"/>
      <c r="E286" s="3"/>
      <c r="F286" s="3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/>
      <c r="AW286" s="20"/>
      <c r="AX286" s="20"/>
      <c r="AY286" s="20"/>
      <c r="AZ286" s="20"/>
      <c r="BA286" s="20"/>
      <c r="BB286" s="20"/>
      <c r="BC286" s="20"/>
      <c r="BD286" s="20"/>
      <c r="BE286" s="20"/>
      <c r="BF286" s="20"/>
      <c r="BG286" s="20"/>
      <c r="BH286" s="20"/>
      <c r="BI286" s="21"/>
      <c r="BJ286" s="21"/>
    </row>
    <row r="287" spans="1:62" ht="15.75" customHeight="1">
      <c r="A287" s="3"/>
      <c r="B287" s="3"/>
      <c r="C287" s="3"/>
      <c r="D287" s="3"/>
      <c r="E287" s="3"/>
      <c r="F287" s="3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/>
      <c r="AW287" s="20"/>
      <c r="AX287" s="20"/>
      <c r="AY287" s="20"/>
      <c r="AZ287" s="20"/>
      <c r="BA287" s="20"/>
      <c r="BB287" s="20"/>
      <c r="BC287" s="20"/>
      <c r="BD287" s="20"/>
      <c r="BE287" s="20"/>
      <c r="BF287" s="20"/>
      <c r="BG287" s="20"/>
      <c r="BH287" s="20"/>
      <c r="BI287" s="21"/>
      <c r="BJ287" s="21"/>
    </row>
    <row r="288" spans="1:62" ht="15.75" customHeight="1">
      <c r="A288" s="3"/>
      <c r="B288" s="3"/>
      <c r="C288" s="3"/>
      <c r="D288" s="3"/>
      <c r="E288" s="3"/>
      <c r="F288" s="3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/>
      <c r="AW288" s="20"/>
      <c r="AX288" s="20"/>
      <c r="AY288" s="20"/>
      <c r="AZ288" s="20"/>
      <c r="BA288" s="20"/>
      <c r="BB288" s="20"/>
      <c r="BC288" s="20"/>
      <c r="BD288" s="20"/>
      <c r="BE288" s="20"/>
      <c r="BF288" s="20"/>
      <c r="BG288" s="20"/>
      <c r="BH288" s="20"/>
      <c r="BI288" s="21"/>
      <c r="BJ288" s="21"/>
    </row>
    <row r="289" spans="1:62" ht="15.75" customHeight="1">
      <c r="A289" s="3"/>
      <c r="B289" s="3"/>
      <c r="C289" s="3"/>
      <c r="D289" s="3"/>
      <c r="E289" s="3"/>
      <c r="F289" s="3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/>
      <c r="AW289" s="20"/>
      <c r="AX289" s="20"/>
      <c r="AY289" s="20"/>
      <c r="AZ289" s="20"/>
      <c r="BA289" s="20"/>
      <c r="BB289" s="20"/>
      <c r="BC289" s="20"/>
      <c r="BD289" s="20"/>
      <c r="BE289" s="20"/>
      <c r="BF289" s="20"/>
      <c r="BG289" s="20"/>
      <c r="BH289" s="20"/>
      <c r="BI289" s="21"/>
      <c r="BJ289" s="21"/>
    </row>
    <row r="290" spans="1:62" ht="15.75" customHeight="1">
      <c r="A290" s="3"/>
      <c r="B290" s="3"/>
      <c r="C290" s="3"/>
      <c r="D290" s="3"/>
      <c r="E290" s="3"/>
      <c r="F290" s="3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/>
      <c r="AW290" s="20"/>
      <c r="AX290" s="20"/>
      <c r="AY290" s="20"/>
      <c r="AZ290" s="20"/>
      <c r="BA290" s="20"/>
      <c r="BB290" s="20"/>
      <c r="BC290" s="20"/>
      <c r="BD290" s="20"/>
      <c r="BE290" s="20"/>
      <c r="BF290" s="20"/>
      <c r="BG290" s="20"/>
      <c r="BH290" s="20"/>
      <c r="BI290" s="21"/>
      <c r="BJ290" s="21"/>
    </row>
    <row r="291" spans="1:62" ht="15.75" customHeight="1">
      <c r="A291" s="3"/>
      <c r="B291" s="3"/>
      <c r="C291" s="3"/>
      <c r="D291" s="3"/>
      <c r="E291" s="3"/>
      <c r="F291" s="3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/>
      <c r="AW291" s="20"/>
      <c r="AX291" s="20"/>
      <c r="AY291" s="20"/>
      <c r="AZ291" s="20"/>
      <c r="BA291" s="20"/>
      <c r="BB291" s="20"/>
      <c r="BC291" s="20"/>
      <c r="BD291" s="20"/>
      <c r="BE291" s="20"/>
      <c r="BF291" s="20"/>
      <c r="BG291" s="20"/>
      <c r="BH291" s="20"/>
      <c r="BI291" s="21"/>
      <c r="BJ291" s="21"/>
    </row>
    <row r="292" spans="1:62" ht="15.75" customHeight="1">
      <c r="A292" s="3"/>
      <c r="B292" s="3"/>
      <c r="C292" s="3"/>
      <c r="D292" s="3"/>
      <c r="E292" s="3"/>
      <c r="F292" s="3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/>
      <c r="AW292" s="20"/>
      <c r="AX292" s="20"/>
      <c r="AY292" s="20"/>
      <c r="AZ292" s="20"/>
      <c r="BA292" s="20"/>
      <c r="BB292" s="20"/>
      <c r="BC292" s="20"/>
      <c r="BD292" s="20"/>
      <c r="BE292" s="20"/>
      <c r="BF292" s="20"/>
      <c r="BG292" s="20"/>
      <c r="BH292" s="20"/>
      <c r="BI292" s="21"/>
      <c r="BJ292" s="21"/>
    </row>
    <row r="293" spans="1:62" ht="15.75" customHeight="1">
      <c r="A293" s="3"/>
      <c r="B293" s="3"/>
      <c r="C293" s="3"/>
      <c r="D293" s="3"/>
      <c r="E293" s="3"/>
      <c r="F293" s="3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/>
      <c r="AW293" s="20"/>
      <c r="AX293" s="20"/>
      <c r="AY293" s="20"/>
      <c r="AZ293" s="20"/>
      <c r="BA293" s="20"/>
      <c r="BB293" s="20"/>
      <c r="BC293" s="20"/>
      <c r="BD293" s="20"/>
      <c r="BE293" s="20"/>
      <c r="BF293" s="20"/>
      <c r="BG293" s="20"/>
      <c r="BH293" s="20"/>
      <c r="BI293" s="21"/>
      <c r="BJ293" s="21"/>
    </row>
    <row r="294" spans="1:62" ht="15.75" customHeight="1">
      <c r="A294" s="3"/>
      <c r="B294" s="3"/>
      <c r="C294" s="3"/>
      <c r="D294" s="3"/>
      <c r="E294" s="3"/>
      <c r="F294" s="3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/>
      <c r="AW294" s="20"/>
      <c r="AX294" s="20"/>
      <c r="AY294" s="20"/>
      <c r="AZ294" s="20"/>
      <c r="BA294" s="20"/>
      <c r="BB294" s="20"/>
      <c r="BC294" s="20"/>
      <c r="BD294" s="20"/>
      <c r="BE294" s="20"/>
      <c r="BF294" s="20"/>
      <c r="BG294" s="20"/>
      <c r="BH294" s="20"/>
      <c r="BI294" s="21"/>
      <c r="BJ294" s="21"/>
    </row>
    <row r="295" spans="1:62" ht="15.75" customHeight="1">
      <c r="A295" s="3"/>
      <c r="B295" s="3"/>
      <c r="C295" s="3"/>
      <c r="D295" s="3"/>
      <c r="E295" s="3"/>
      <c r="F295" s="3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/>
      <c r="AW295" s="20"/>
      <c r="AX295" s="20"/>
      <c r="AY295" s="20"/>
      <c r="AZ295" s="20"/>
      <c r="BA295" s="20"/>
      <c r="BB295" s="20"/>
      <c r="BC295" s="20"/>
      <c r="BD295" s="20"/>
      <c r="BE295" s="20"/>
      <c r="BF295" s="20"/>
      <c r="BG295" s="20"/>
      <c r="BH295" s="20"/>
      <c r="BI295" s="21"/>
      <c r="BJ295" s="21"/>
    </row>
    <row r="296" spans="1:62" ht="15.75" customHeight="1">
      <c r="A296" s="3"/>
      <c r="B296" s="3"/>
      <c r="C296" s="3"/>
      <c r="D296" s="3"/>
      <c r="E296" s="3"/>
      <c r="F296" s="3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/>
      <c r="AW296" s="20"/>
      <c r="AX296" s="20"/>
      <c r="AY296" s="20"/>
      <c r="AZ296" s="20"/>
      <c r="BA296" s="20"/>
      <c r="BB296" s="20"/>
      <c r="BC296" s="20"/>
      <c r="BD296" s="20"/>
      <c r="BE296" s="20"/>
      <c r="BF296" s="20"/>
      <c r="BG296" s="20"/>
      <c r="BH296" s="20"/>
      <c r="BI296" s="21"/>
      <c r="BJ296" s="21"/>
    </row>
    <row r="297" spans="1:62" ht="15.75" customHeight="1">
      <c r="A297" s="3"/>
      <c r="B297" s="3"/>
      <c r="C297" s="3"/>
      <c r="D297" s="3"/>
      <c r="E297" s="3"/>
      <c r="F297" s="3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/>
      <c r="AW297" s="20"/>
      <c r="AX297" s="20"/>
      <c r="AY297" s="20"/>
      <c r="AZ297" s="20"/>
      <c r="BA297" s="20"/>
      <c r="BB297" s="20"/>
      <c r="BC297" s="20"/>
      <c r="BD297" s="20"/>
      <c r="BE297" s="20"/>
      <c r="BF297" s="20"/>
      <c r="BG297" s="20"/>
      <c r="BH297" s="20"/>
      <c r="BI297" s="21"/>
      <c r="BJ297" s="21"/>
    </row>
    <row r="298" spans="1:62" ht="15.75" customHeight="1">
      <c r="A298" s="3"/>
      <c r="B298" s="3"/>
      <c r="C298" s="3"/>
      <c r="D298" s="3"/>
      <c r="E298" s="3"/>
      <c r="F298" s="3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/>
      <c r="AW298" s="20"/>
      <c r="AX298" s="20"/>
      <c r="AY298" s="20"/>
      <c r="AZ298" s="20"/>
      <c r="BA298" s="20"/>
      <c r="BB298" s="20"/>
      <c r="BC298" s="20"/>
      <c r="BD298" s="20"/>
      <c r="BE298" s="20"/>
      <c r="BF298" s="20"/>
      <c r="BG298" s="20"/>
      <c r="BH298" s="20"/>
      <c r="BI298" s="21"/>
      <c r="BJ298" s="21"/>
    </row>
    <row r="299" spans="1:62" ht="15.75" customHeight="1">
      <c r="A299" s="3"/>
      <c r="B299" s="3"/>
      <c r="C299" s="3"/>
      <c r="D299" s="3"/>
      <c r="E299" s="3"/>
      <c r="F299" s="3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/>
      <c r="AW299" s="20"/>
      <c r="AX299" s="20"/>
      <c r="AY299" s="20"/>
      <c r="AZ299" s="20"/>
      <c r="BA299" s="20"/>
      <c r="BB299" s="20"/>
      <c r="BC299" s="20"/>
      <c r="BD299" s="20"/>
      <c r="BE299" s="20"/>
      <c r="BF299" s="20"/>
      <c r="BG299" s="20"/>
      <c r="BH299" s="20"/>
      <c r="BI299" s="21"/>
      <c r="BJ299" s="21"/>
    </row>
    <row r="300" spans="1:62" ht="15.75" customHeight="1">
      <c r="A300" s="3"/>
      <c r="B300" s="3"/>
      <c r="C300" s="3"/>
      <c r="D300" s="3"/>
      <c r="E300" s="3"/>
      <c r="F300" s="3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1"/>
      <c r="BJ300" s="21"/>
    </row>
    <row r="301" spans="1:62" ht="15.75" customHeight="1">
      <c r="A301" s="3"/>
      <c r="B301" s="3"/>
      <c r="C301" s="3"/>
      <c r="D301" s="3"/>
      <c r="E301" s="3"/>
      <c r="F301" s="3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/>
      <c r="AW301" s="20"/>
      <c r="AX301" s="20"/>
      <c r="AY301" s="20"/>
      <c r="AZ301" s="20"/>
      <c r="BA301" s="20"/>
      <c r="BB301" s="20"/>
      <c r="BC301" s="20"/>
      <c r="BD301" s="20"/>
      <c r="BE301" s="20"/>
      <c r="BF301" s="20"/>
      <c r="BG301" s="20"/>
      <c r="BH301" s="20"/>
      <c r="BI301" s="21"/>
      <c r="BJ301" s="21"/>
    </row>
    <row r="302" spans="1:62" ht="15.75" customHeight="1">
      <c r="A302" s="3"/>
      <c r="B302" s="3"/>
      <c r="C302" s="3"/>
      <c r="D302" s="3"/>
      <c r="E302" s="3"/>
      <c r="F302" s="3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/>
      <c r="AW302" s="20"/>
      <c r="AX302" s="20"/>
      <c r="AY302" s="20"/>
      <c r="AZ302" s="20"/>
      <c r="BA302" s="20"/>
      <c r="BB302" s="20"/>
      <c r="BC302" s="20"/>
      <c r="BD302" s="20"/>
      <c r="BE302" s="20"/>
      <c r="BF302" s="20"/>
      <c r="BG302" s="20"/>
      <c r="BH302" s="20"/>
      <c r="BI302" s="21"/>
      <c r="BJ302" s="21"/>
    </row>
    <row r="303" spans="1:62" ht="15.75" customHeight="1">
      <c r="A303" s="3"/>
      <c r="B303" s="3"/>
      <c r="C303" s="3"/>
      <c r="D303" s="3"/>
      <c r="E303" s="3"/>
      <c r="F303" s="3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/>
      <c r="AW303" s="20"/>
      <c r="AX303" s="20"/>
      <c r="AY303" s="20"/>
      <c r="AZ303" s="20"/>
      <c r="BA303" s="20"/>
      <c r="BB303" s="20"/>
      <c r="BC303" s="20"/>
      <c r="BD303" s="20"/>
      <c r="BE303" s="20"/>
      <c r="BF303" s="20"/>
      <c r="BG303" s="20"/>
      <c r="BH303" s="20"/>
      <c r="BI303" s="21"/>
      <c r="BJ303" s="21"/>
    </row>
    <row r="304" spans="1:62" ht="15.75" customHeight="1">
      <c r="A304" s="3"/>
      <c r="B304" s="3"/>
      <c r="C304" s="3"/>
      <c r="D304" s="3"/>
      <c r="E304" s="3"/>
      <c r="F304" s="3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/>
      <c r="AW304" s="20"/>
      <c r="AX304" s="20"/>
      <c r="AY304" s="20"/>
      <c r="AZ304" s="20"/>
      <c r="BA304" s="20"/>
      <c r="BB304" s="20"/>
      <c r="BC304" s="20"/>
      <c r="BD304" s="20"/>
      <c r="BE304" s="20"/>
      <c r="BF304" s="20"/>
      <c r="BG304" s="20"/>
      <c r="BH304" s="20"/>
      <c r="BI304" s="21"/>
      <c r="BJ304" s="21"/>
    </row>
    <row r="305" spans="1:62" ht="15.75" customHeight="1">
      <c r="A305" s="3"/>
      <c r="B305" s="3"/>
      <c r="C305" s="3"/>
      <c r="D305" s="3"/>
      <c r="E305" s="3"/>
      <c r="F305" s="3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/>
      <c r="AW305" s="20"/>
      <c r="AX305" s="20"/>
      <c r="AY305" s="20"/>
      <c r="AZ305" s="20"/>
      <c r="BA305" s="20"/>
      <c r="BB305" s="20"/>
      <c r="BC305" s="20"/>
      <c r="BD305" s="20"/>
      <c r="BE305" s="20"/>
      <c r="BF305" s="20"/>
      <c r="BG305" s="20"/>
      <c r="BH305" s="20"/>
      <c r="BI305" s="21"/>
      <c r="BJ305" s="21"/>
    </row>
    <row r="306" spans="1:62" ht="15.75" customHeight="1">
      <c r="A306" s="3"/>
      <c r="B306" s="3"/>
      <c r="C306" s="3"/>
      <c r="D306" s="3"/>
      <c r="E306" s="3"/>
      <c r="F306" s="3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/>
      <c r="AW306" s="20"/>
      <c r="AX306" s="20"/>
      <c r="AY306" s="20"/>
      <c r="AZ306" s="20"/>
      <c r="BA306" s="20"/>
      <c r="BB306" s="20"/>
      <c r="BC306" s="20"/>
      <c r="BD306" s="20"/>
      <c r="BE306" s="20"/>
      <c r="BF306" s="20"/>
      <c r="BG306" s="20"/>
      <c r="BH306" s="20"/>
      <c r="BI306" s="21"/>
      <c r="BJ306" s="21"/>
    </row>
    <row r="307" spans="1:62" ht="15.75" customHeight="1">
      <c r="A307" s="3"/>
      <c r="B307" s="3"/>
      <c r="C307" s="3"/>
      <c r="D307" s="3"/>
      <c r="E307" s="3"/>
      <c r="F307" s="3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/>
      <c r="AW307" s="20"/>
      <c r="AX307" s="20"/>
      <c r="AY307" s="20"/>
      <c r="AZ307" s="20"/>
      <c r="BA307" s="20"/>
      <c r="BB307" s="20"/>
      <c r="BC307" s="20"/>
      <c r="BD307" s="20"/>
      <c r="BE307" s="20"/>
      <c r="BF307" s="20"/>
      <c r="BG307" s="20"/>
      <c r="BH307" s="20"/>
      <c r="BI307" s="21"/>
      <c r="BJ307" s="21"/>
    </row>
    <row r="308" spans="1:62" ht="15.75" customHeight="1">
      <c r="A308" s="3"/>
      <c r="B308" s="3"/>
      <c r="C308" s="3"/>
      <c r="D308" s="3"/>
      <c r="E308" s="3"/>
      <c r="F308" s="3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/>
      <c r="AW308" s="20"/>
      <c r="AX308" s="20"/>
      <c r="AY308" s="20"/>
      <c r="AZ308" s="20"/>
      <c r="BA308" s="20"/>
      <c r="BB308" s="20"/>
      <c r="BC308" s="20"/>
      <c r="BD308" s="20"/>
      <c r="BE308" s="20"/>
      <c r="BF308" s="20"/>
      <c r="BG308" s="20"/>
      <c r="BH308" s="20"/>
      <c r="BI308" s="21"/>
      <c r="BJ308" s="21"/>
    </row>
    <row r="309" spans="1:62" ht="15.75" customHeight="1">
      <c r="A309" s="3"/>
      <c r="B309" s="3"/>
      <c r="C309" s="3"/>
      <c r="D309" s="3"/>
      <c r="E309" s="3"/>
      <c r="F309" s="3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/>
      <c r="AW309" s="20"/>
      <c r="AX309" s="20"/>
      <c r="AY309" s="20"/>
      <c r="AZ309" s="20"/>
      <c r="BA309" s="20"/>
      <c r="BB309" s="20"/>
      <c r="BC309" s="20"/>
      <c r="BD309" s="20"/>
      <c r="BE309" s="20"/>
      <c r="BF309" s="20"/>
      <c r="BG309" s="20"/>
      <c r="BH309" s="20"/>
      <c r="BI309" s="21"/>
      <c r="BJ309" s="21"/>
    </row>
    <row r="310" spans="1:62" ht="15.75" customHeight="1">
      <c r="A310" s="3"/>
      <c r="B310" s="3"/>
      <c r="C310" s="3"/>
      <c r="D310" s="3"/>
      <c r="E310" s="3"/>
      <c r="F310" s="3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/>
      <c r="AW310" s="20"/>
      <c r="AX310" s="20"/>
      <c r="AY310" s="20"/>
      <c r="AZ310" s="20"/>
      <c r="BA310" s="20"/>
      <c r="BB310" s="20"/>
      <c r="BC310" s="20"/>
      <c r="BD310" s="20"/>
      <c r="BE310" s="20"/>
      <c r="BF310" s="20"/>
      <c r="BG310" s="20"/>
      <c r="BH310" s="20"/>
      <c r="BI310" s="21"/>
      <c r="BJ310" s="21"/>
    </row>
    <row r="311" spans="1:62" ht="15.75" customHeight="1">
      <c r="A311" s="3"/>
      <c r="B311" s="3"/>
      <c r="C311" s="3"/>
      <c r="D311" s="3"/>
      <c r="E311" s="3"/>
      <c r="F311" s="3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/>
      <c r="AW311" s="20"/>
      <c r="AX311" s="20"/>
      <c r="AY311" s="20"/>
      <c r="AZ311" s="20"/>
      <c r="BA311" s="20"/>
      <c r="BB311" s="20"/>
      <c r="BC311" s="20"/>
      <c r="BD311" s="20"/>
      <c r="BE311" s="20"/>
      <c r="BF311" s="20"/>
      <c r="BG311" s="20"/>
      <c r="BH311" s="20"/>
      <c r="BI311" s="21"/>
      <c r="BJ311" s="21"/>
    </row>
    <row r="312" spans="1:62" ht="15.75" customHeight="1">
      <c r="A312" s="3"/>
      <c r="B312" s="3"/>
      <c r="C312" s="3"/>
      <c r="D312" s="3"/>
      <c r="E312" s="3"/>
      <c r="F312" s="3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/>
      <c r="AW312" s="20"/>
      <c r="AX312" s="20"/>
      <c r="AY312" s="20"/>
      <c r="AZ312" s="20"/>
      <c r="BA312" s="20"/>
      <c r="BB312" s="20"/>
      <c r="BC312" s="20"/>
      <c r="BD312" s="20"/>
      <c r="BE312" s="20"/>
      <c r="BF312" s="20"/>
      <c r="BG312" s="20"/>
      <c r="BH312" s="20"/>
      <c r="BI312" s="21"/>
      <c r="BJ312" s="21"/>
    </row>
    <row r="313" spans="1:62" ht="15.75" customHeight="1">
      <c r="A313" s="3"/>
      <c r="B313" s="3"/>
      <c r="C313" s="3"/>
      <c r="D313" s="3"/>
      <c r="E313" s="3"/>
      <c r="F313" s="3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/>
      <c r="AW313" s="20"/>
      <c r="AX313" s="20"/>
      <c r="AY313" s="20"/>
      <c r="AZ313" s="20"/>
      <c r="BA313" s="20"/>
      <c r="BB313" s="20"/>
      <c r="BC313" s="20"/>
      <c r="BD313" s="20"/>
      <c r="BE313" s="20"/>
      <c r="BF313" s="20"/>
      <c r="BG313" s="20"/>
      <c r="BH313" s="20"/>
      <c r="BI313" s="21"/>
      <c r="BJ313" s="21"/>
    </row>
    <row r="314" spans="1:62" ht="15.75" customHeight="1">
      <c r="A314" s="3"/>
      <c r="B314" s="3"/>
      <c r="C314" s="3"/>
      <c r="D314" s="3"/>
      <c r="E314" s="3"/>
      <c r="F314" s="3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/>
      <c r="AW314" s="20"/>
      <c r="AX314" s="20"/>
      <c r="AY314" s="20"/>
      <c r="AZ314" s="20"/>
      <c r="BA314" s="20"/>
      <c r="BB314" s="20"/>
      <c r="BC314" s="20"/>
      <c r="BD314" s="20"/>
      <c r="BE314" s="20"/>
      <c r="BF314" s="20"/>
      <c r="BG314" s="20"/>
      <c r="BH314" s="20"/>
      <c r="BI314" s="21"/>
      <c r="BJ314" s="21"/>
    </row>
    <row r="315" spans="1:62" ht="15.75" customHeight="1">
      <c r="A315" s="3"/>
      <c r="B315" s="3"/>
      <c r="C315" s="3"/>
      <c r="D315" s="3"/>
      <c r="E315" s="3"/>
      <c r="F315" s="3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/>
      <c r="AW315" s="20"/>
      <c r="AX315" s="20"/>
      <c r="AY315" s="20"/>
      <c r="AZ315" s="20"/>
      <c r="BA315" s="20"/>
      <c r="BB315" s="20"/>
      <c r="BC315" s="20"/>
      <c r="BD315" s="20"/>
      <c r="BE315" s="20"/>
      <c r="BF315" s="20"/>
      <c r="BG315" s="20"/>
      <c r="BH315" s="20"/>
      <c r="BI315" s="21"/>
      <c r="BJ315" s="21"/>
    </row>
    <row r="316" spans="1:62" ht="15.75" customHeight="1">
      <c r="A316" s="3"/>
      <c r="B316" s="3"/>
      <c r="C316" s="3"/>
      <c r="D316" s="3"/>
      <c r="E316" s="3"/>
      <c r="F316" s="3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/>
      <c r="AW316" s="20"/>
      <c r="AX316" s="20"/>
      <c r="AY316" s="20"/>
      <c r="AZ316" s="20"/>
      <c r="BA316" s="20"/>
      <c r="BB316" s="20"/>
      <c r="BC316" s="20"/>
      <c r="BD316" s="20"/>
      <c r="BE316" s="20"/>
      <c r="BF316" s="20"/>
      <c r="BG316" s="20"/>
      <c r="BH316" s="20"/>
      <c r="BI316" s="21"/>
      <c r="BJ316" s="21"/>
    </row>
    <row r="317" spans="1:62" ht="15.75" customHeight="1">
      <c r="A317" s="3"/>
      <c r="B317" s="3"/>
      <c r="C317" s="3"/>
      <c r="D317" s="3"/>
      <c r="E317" s="3"/>
      <c r="F317" s="3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/>
      <c r="AW317" s="20"/>
      <c r="AX317" s="20"/>
      <c r="AY317" s="20"/>
      <c r="AZ317" s="20"/>
      <c r="BA317" s="20"/>
      <c r="BB317" s="20"/>
      <c r="BC317" s="20"/>
      <c r="BD317" s="20"/>
      <c r="BE317" s="20"/>
      <c r="BF317" s="20"/>
      <c r="BG317" s="20"/>
      <c r="BH317" s="20"/>
      <c r="BI317" s="21"/>
      <c r="BJ317" s="21"/>
    </row>
    <row r="318" spans="1:62" ht="15.75" customHeight="1">
      <c r="A318" s="3"/>
      <c r="B318" s="3"/>
      <c r="C318" s="3"/>
      <c r="D318" s="3"/>
      <c r="E318" s="3"/>
      <c r="F318" s="3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/>
      <c r="AW318" s="20"/>
      <c r="AX318" s="20"/>
      <c r="AY318" s="20"/>
      <c r="AZ318" s="20"/>
      <c r="BA318" s="20"/>
      <c r="BB318" s="20"/>
      <c r="BC318" s="20"/>
      <c r="BD318" s="20"/>
      <c r="BE318" s="20"/>
      <c r="BF318" s="20"/>
      <c r="BG318" s="20"/>
      <c r="BH318" s="20"/>
      <c r="BI318" s="21"/>
      <c r="BJ318" s="21"/>
    </row>
    <row r="319" spans="1:62" ht="15.75" customHeight="1">
      <c r="A319" s="3"/>
      <c r="B319" s="3"/>
      <c r="C319" s="3"/>
      <c r="D319" s="3"/>
      <c r="E319" s="3"/>
      <c r="F319" s="3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/>
      <c r="AW319" s="20"/>
      <c r="AX319" s="20"/>
      <c r="AY319" s="20"/>
      <c r="AZ319" s="20"/>
      <c r="BA319" s="20"/>
      <c r="BB319" s="20"/>
      <c r="BC319" s="20"/>
      <c r="BD319" s="20"/>
      <c r="BE319" s="20"/>
      <c r="BF319" s="20"/>
      <c r="BG319" s="20"/>
      <c r="BH319" s="20"/>
      <c r="BI319" s="21"/>
      <c r="BJ319" s="21"/>
    </row>
    <row r="320" spans="1:62" ht="15.75" customHeight="1">
      <c r="A320" s="3"/>
      <c r="B320" s="3"/>
      <c r="C320" s="3"/>
      <c r="D320" s="3"/>
      <c r="E320" s="3"/>
      <c r="F320" s="3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/>
      <c r="AW320" s="20"/>
      <c r="AX320" s="20"/>
      <c r="AY320" s="20"/>
      <c r="AZ320" s="20"/>
      <c r="BA320" s="20"/>
      <c r="BB320" s="20"/>
      <c r="BC320" s="20"/>
      <c r="BD320" s="20"/>
      <c r="BE320" s="20"/>
      <c r="BF320" s="20"/>
      <c r="BG320" s="20"/>
      <c r="BH320" s="20"/>
      <c r="BI320" s="21"/>
      <c r="BJ320" s="21"/>
    </row>
    <row r="321" spans="1:62" ht="15.75" customHeight="1">
      <c r="A321" s="3"/>
      <c r="B321" s="3"/>
      <c r="C321" s="3"/>
      <c r="D321" s="3"/>
      <c r="E321" s="3"/>
      <c r="F321" s="3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/>
      <c r="AW321" s="20"/>
      <c r="AX321" s="20"/>
      <c r="AY321" s="20"/>
      <c r="AZ321" s="20"/>
      <c r="BA321" s="20"/>
      <c r="BB321" s="20"/>
      <c r="BC321" s="20"/>
      <c r="BD321" s="20"/>
      <c r="BE321" s="20"/>
      <c r="BF321" s="20"/>
      <c r="BG321" s="20"/>
      <c r="BH321" s="20"/>
      <c r="BI321" s="21"/>
      <c r="BJ321" s="21"/>
    </row>
    <row r="322" spans="1:62" ht="15.75" customHeight="1">
      <c r="A322" s="3"/>
      <c r="B322" s="3"/>
      <c r="C322" s="3"/>
      <c r="D322" s="3"/>
      <c r="E322" s="3"/>
      <c r="F322" s="3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/>
      <c r="AW322" s="20"/>
      <c r="AX322" s="20"/>
      <c r="AY322" s="20"/>
      <c r="AZ322" s="20"/>
      <c r="BA322" s="20"/>
      <c r="BB322" s="20"/>
      <c r="BC322" s="20"/>
      <c r="BD322" s="20"/>
      <c r="BE322" s="20"/>
      <c r="BF322" s="20"/>
      <c r="BG322" s="20"/>
      <c r="BH322" s="20"/>
      <c r="BI322" s="21"/>
      <c r="BJ322" s="21"/>
    </row>
    <row r="323" spans="1:62" ht="15.75" customHeight="1">
      <c r="A323" s="3"/>
      <c r="B323" s="3"/>
      <c r="C323" s="3"/>
      <c r="D323" s="3"/>
      <c r="E323" s="3"/>
      <c r="F323" s="3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/>
      <c r="AW323" s="20"/>
      <c r="AX323" s="20"/>
      <c r="AY323" s="20"/>
      <c r="AZ323" s="20"/>
      <c r="BA323" s="20"/>
      <c r="BB323" s="20"/>
      <c r="BC323" s="20"/>
      <c r="BD323" s="20"/>
      <c r="BE323" s="20"/>
      <c r="BF323" s="20"/>
      <c r="BG323" s="20"/>
      <c r="BH323" s="20"/>
      <c r="BI323" s="21"/>
      <c r="BJ323" s="21"/>
    </row>
    <row r="324" spans="1:62" ht="15.75" customHeight="1">
      <c r="A324" s="3"/>
      <c r="B324" s="3"/>
      <c r="C324" s="3"/>
      <c r="D324" s="3"/>
      <c r="E324" s="3"/>
      <c r="F324" s="3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/>
      <c r="AW324" s="20"/>
      <c r="AX324" s="20"/>
      <c r="AY324" s="20"/>
      <c r="AZ324" s="20"/>
      <c r="BA324" s="20"/>
      <c r="BB324" s="20"/>
      <c r="BC324" s="20"/>
      <c r="BD324" s="20"/>
      <c r="BE324" s="20"/>
      <c r="BF324" s="20"/>
      <c r="BG324" s="20"/>
      <c r="BH324" s="20"/>
      <c r="BI324" s="21"/>
      <c r="BJ324" s="21"/>
    </row>
    <row r="325" spans="1:62" ht="15.75" customHeight="1">
      <c r="A325" s="3"/>
      <c r="B325" s="3"/>
      <c r="C325" s="3"/>
      <c r="D325" s="3"/>
      <c r="E325" s="3"/>
      <c r="F325" s="3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/>
      <c r="AW325" s="20"/>
      <c r="AX325" s="20"/>
      <c r="AY325" s="20"/>
      <c r="AZ325" s="20"/>
      <c r="BA325" s="20"/>
      <c r="BB325" s="20"/>
      <c r="BC325" s="20"/>
      <c r="BD325" s="20"/>
      <c r="BE325" s="20"/>
      <c r="BF325" s="20"/>
      <c r="BG325" s="20"/>
      <c r="BH325" s="20"/>
      <c r="BI325" s="21"/>
      <c r="BJ325" s="21"/>
    </row>
    <row r="326" spans="1:62" ht="15.75" customHeight="1">
      <c r="A326" s="3"/>
      <c r="B326" s="3"/>
      <c r="C326" s="3"/>
      <c r="D326" s="3"/>
      <c r="E326" s="3"/>
      <c r="F326" s="3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/>
      <c r="AW326" s="20"/>
      <c r="AX326" s="20"/>
      <c r="AY326" s="20"/>
      <c r="AZ326" s="20"/>
      <c r="BA326" s="20"/>
      <c r="BB326" s="20"/>
      <c r="BC326" s="20"/>
      <c r="BD326" s="20"/>
      <c r="BE326" s="20"/>
      <c r="BF326" s="20"/>
      <c r="BG326" s="20"/>
      <c r="BH326" s="20"/>
      <c r="BI326" s="21"/>
      <c r="BJ326" s="21"/>
    </row>
    <row r="327" spans="1:62" ht="15.75" customHeight="1">
      <c r="A327" s="3"/>
      <c r="B327" s="3"/>
      <c r="C327" s="3"/>
      <c r="D327" s="3"/>
      <c r="E327" s="3"/>
      <c r="F327" s="3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/>
      <c r="AW327" s="20"/>
      <c r="AX327" s="20"/>
      <c r="AY327" s="20"/>
      <c r="AZ327" s="20"/>
      <c r="BA327" s="20"/>
      <c r="BB327" s="20"/>
      <c r="BC327" s="20"/>
      <c r="BD327" s="20"/>
      <c r="BE327" s="20"/>
      <c r="BF327" s="20"/>
      <c r="BG327" s="20"/>
      <c r="BH327" s="20"/>
      <c r="BI327" s="21"/>
      <c r="BJ327" s="21"/>
    </row>
    <row r="328" spans="1:62" ht="15.75" customHeight="1">
      <c r="A328" s="3"/>
      <c r="B328" s="3"/>
      <c r="C328" s="3"/>
      <c r="D328" s="3"/>
      <c r="E328" s="3"/>
      <c r="F328" s="3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1"/>
      <c r="BJ328" s="21"/>
    </row>
    <row r="329" spans="1:62" ht="15.75" customHeight="1">
      <c r="A329" s="3"/>
      <c r="B329" s="3"/>
      <c r="C329" s="3"/>
      <c r="D329" s="3"/>
      <c r="E329" s="3"/>
      <c r="F329" s="3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/>
      <c r="AW329" s="20"/>
      <c r="AX329" s="20"/>
      <c r="AY329" s="20"/>
      <c r="AZ329" s="20"/>
      <c r="BA329" s="20"/>
      <c r="BB329" s="20"/>
      <c r="BC329" s="20"/>
      <c r="BD329" s="20"/>
      <c r="BE329" s="20"/>
      <c r="BF329" s="20"/>
      <c r="BG329" s="20"/>
      <c r="BH329" s="20"/>
      <c r="BI329" s="21"/>
      <c r="BJ329" s="21"/>
    </row>
    <row r="330" spans="1:62" ht="15.75" customHeight="1">
      <c r="A330" s="3"/>
      <c r="B330" s="3"/>
      <c r="C330" s="3"/>
      <c r="D330" s="3"/>
      <c r="E330" s="3"/>
      <c r="F330" s="3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/>
      <c r="AW330" s="20"/>
      <c r="AX330" s="20"/>
      <c r="AY330" s="20"/>
      <c r="AZ330" s="20"/>
      <c r="BA330" s="20"/>
      <c r="BB330" s="20"/>
      <c r="BC330" s="20"/>
      <c r="BD330" s="20"/>
      <c r="BE330" s="20"/>
      <c r="BF330" s="20"/>
      <c r="BG330" s="20"/>
      <c r="BH330" s="20"/>
      <c r="BI330" s="21"/>
      <c r="BJ330" s="21"/>
    </row>
    <row r="331" spans="1:62" ht="15.75" customHeight="1">
      <c r="A331" s="3"/>
      <c r="B331" s="3"/>
      <c r="C331" s="3"/>
      <c r="D331" s="3"/>
      <c r="E331" s="3"/>
      <c r="F331" s="3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/>
      <c r="AW331" s="20"/>
      <c r="AX331" s="20"/>
      <c r="AY331" s="20"/>
      <c r="AZ331" s="20"/>
      <c r="BA331" s="20"/>
      <c r="BB331" s="20"/>
      <c r="BC331" s="20"/>
      <c r="BD331" s="20"/>
      <c r="BE331" s="20"/>
      <c r="BF331" s="20"/>
      <c r="BG331" s="20"/>
      <c r="BH331" s="20"/>
      <c r="BI331" s="21"/>
      <c r="BJ331" s="21"/>
    </row>
    <row r="332" spans="1:62" ht="15.75" customHeight="1">
      <c r="A332" s="3"/>
      <c r="B332" s="3"/>
      <c r="C332" s="3"/>
      <c r="D332" s="3"/>
      <c r="E332" s="3"/>
      <c r="F332" s="3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/>
      <c r="AW332" s="20"/>
      <c r="AX332" s="20"/>
      <c r="AY332" s="20"/>
      <c r="AZ332" s="20"/>
      <c r="BA332" s="20"/>
      <c r="BB332" s="20"/>
      <c r="BC332" s="20"/>
      <c r="BD332" s="20"/>
      <c r="BE332" s="20"/>
      <c r="BF332" s="20"/>
      <c r="BG332" s="20"/>
      <c r="BH332" s="20"/>
      <c r="BI332" s="21"/>
      <c r="BJ332" s="21"/>
    </row>
    <row r="333" spans="1:62" ht="15.75" customHeight="1">
      <c r="A333" s="3"/>
      <c r="B333" s="3"/>
      <c r="C333" s="3"/>
      <c r="D333" s="3"/>
      <c r="E333" s="3"/>
      <c r="F333" s="3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/>
      <c r="AW333" s="20"/>
      <c r="AX333" s="20"/>
      <c r="AY333" s="20"/>
      <c r="AZ333" s="20"/>
      <c r="BA333" s="20"/>
      <c r="BB333" s="20"/>
      <c r="BC333" s="20"/>
      <c r="BD333" s="20"/>
      <c r="BE333" s="20"/>
      <c r="BF333" s="20"/>
      <c r="BG333" s="20"/>
      <c r="BH333" s="20"/>
      <c r="BI333" s="21"/>
      <c r="BJ333" s="21"/>
    </row>
    <row r="334" spans="1:62" ht="15.75" customHeight="1">
      <c r="A334" s="3"/>
      <c r="B334" s="3"/>
      <c r="C334" s="3"/>
      <c r="D334" s="3"/>
      <c r="E334" s="3"/>
      <c r="F334" s="3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/>
      <c r="AW334" s="20"/>
      <c r="AX334" s="20"/>
      <c r="AY334" s="20"/>
      <c r="AZ334" s="20"/>
      <c r="BA334" s="20"/>
      <c r="BB334" s="20"/>
      <c r="BC334" s="20"/>
      <c r="BD334" s="20"/>
      <c r="BE334" s="20"/>
      <c r="BF334" s="20"/>
      <c r="BG334" s="20"/>
      <c r="BH334" s="20"/>
      <c r="BI334" s="21"/>
      <c r="BJ334" s="21"/>
    </row>
    <row r="335" spans="1:62" ht="15.75" customHeight="1">
      <c r="A335" s="3"/>
      <c r="B335" s="3"/>
      <c r="C335" s="3"/>
      <c r="D335" s="3"/>
      <c r="E335" s="3"/>
      <c r="F335" s="3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/>
      <c r="AW335" s="20"/>
      <c r="AX335" s="20"/>
      <c r="AY335" s="20"/>
      <c r="AZ335" s="20"/>
      <c r="BA335" s="20"/>
      <c r="BB335" s="20"/>
      <c r="BC335" s="20"/>
      <c r="BD335" s="20"/>
      <c r="BE335" s="20"/>
      <c r="BF335" s="20"/>
      <c r="BG335" s="20"/>
      <c r="BH335" s="20"/>
      <c r="BI335" s="21"/>
      <c r="BJ335" s="21"/>
    </row>
    <row r="336" spans="1:62" ht="15.75" customHeight="1">
      <c r="A336" s="3"/>
      <c r="B336" s="3"/>
      <c r="C336" s="3"/>
      <c r="D336" s="3"/>
      <c r="E336" s="3"/>
      <c r="F336" s="3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/>
      <c r="AW336" s="20"/>
      <c r="AX336" s="20"/>
      <c r="AY336" s="20"/>
      <c r="AZ336" s="20"/>
      <c r="BA336" s="20"/>
      <c r="BB336" s="20"/>
      <c r="BC336" s="20"/>
      <c r="BD336" s="20"/>
      <c r="BE336" s="20"/>
      <c r="BF336" s="20"/>
      <c r="BG336" s="20"/>
      <c r="BH336" s="20"/>
      <c r="BI336" s="21"/>
      <c r="BJ336" s="21"/>
    </row>
    <row r="337" spans="1:62" ht="15.75" customHeight="1">
      <c r="A337" s="3"/>
      <c r="B337" s="3"/>
      <c r="C337" s="3"/>
      <c r="D337" s="3"/>
      <c r="E337" s="3"/>
      <c r="F337" s="3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/>
      <c r="AW337" s="20"/>
      <c r="AX337" s="20"/>
      <c r="AY337" s="20"/>
      <c r="AZ337" s="20"/>
      <c r="BA337" s="20"/>
      <c r="BB337" s="20"/>
      <c r="BC337" s="20"/>
      <c r="BD337" s="20"/>
      <c r="BE337" s="20"/>
      <c r="BF337" s="20"/>
      <c r="BG337" s="20"/>
      <c r="BH337" s="20"/>
      <c r="BI337" s="21"/>
      <c r="BJ337" s="21"/>
    </row>
    <row r="338" spans="1:62" ht="15.75" customHeight="1">
      <c r="A338" s="3"/>
      <c r="B338" s="3"/>
      <c r="C338" s="3"/>
      <c r="D338" s="3"/>
      <c r="E338" s="3"/>
      <c r="F338" s="3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/>
      <c r="AW338" s="20"/>
      <c r="AX338" s="20"/>
      <c r="AY338" s="20"/>
      <c r="AZ338" s="20"/>
      <c r="BA338" s="20"/>
      <c r="BB338" s="20"/>
      <c r="BC338" s="20"/>
      <c r="BD338" s="20"/>
      <c r="BE338" s="20"/>
      <c r="BF338" s="20"/>
      <c r="BG338" s="20"/>
      <c r="BH338" s="20"/>
      <c r="BI338" s="21"/>
      <c r="BJ338" s="21"/>
    </row>
    <row r="339" spans="1:62" ht="15.75" customHeight="1">
      <c r="A339" s="3"/>
      <c r="B339" s="3"/>
      <c r="C339" s="3"/>
      <c r="D339" s="3"/>
      <c r="E339" s="3"/>
      <c r="F339" s="3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/>
      <c r="AW339" s="20"/>
      <c r="AX339" s="20"/>
      <c r="AY339" s="20"/>
      <c r="AZ339" s="20"/>
      <c r="BA339" s="20"/>
      <c r="BB339" s="20"/>
      <c r="BC339" s="20"/>
      <c r="BD339" s="20"/>
      <c r="BE339" s="20"/>
      <c r="BF339" s="20"/>
      <c r="BG339" s="20"/>
      <c r="BH339" s="20"/>
      <c r="BI339" s="21"/>
      <c r="BJ339" s="21"/>
    </row>
    <row r="340" spans="1:62" ht="15.75" customHeight="1">
      <c r="A340" s="3"/>
      <c r="B340" s="3"/>
      <c r="C340" s="3"/>
      <c r="D340" s="3"/>
      <c r="E340" s="3"/>
      <c r="F340" s="3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/>
      <c r="AW340" s="20"/>
      <c r="AX340" s="20"/>
      <c r="AY340" s="20"/>
      <c r="AZ340" s="20"/>
      <c r="BA340" s="20"/>
      <c r="BB340" s="20"/>
      <c r="BC340" s="20"/>
      <c r="BD340" s="20"/>
      <c r="BE340" s="20"/>
      <c r="BF340" s="20"/>
      <c r="BG340" s="20"/>
      <c r="BH340" s="20"/>
      <c r="BI340" s="21"/>
      <c r="BJ340" s="21"/>
    </row>
    <row r="341" spans="1:62" ht="15.75" customHeight="1">
      <c r="A341" s="3"/>
      <c r="B341" s="3"/>
      <c r="C341" s="3"/>
      <c r="D341" s="3"/>
      <c r="E341" s="3"/>
      <c r="F341" s="3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20"/>
      <c r="AS341" s="20"/>
      <c r="AT341" s="20"/>
      <c r="AU341" s="20"/>
      <c r="AV341" s="20"/>
      <c r="AW341" s="20"/>
      <c r="AX341" s="20"/>
      <c r="AY341" s="20"/>
      <c r="AZ341" s="20"/>
      <c r="BA341" s="20"/>
      <c r="BB341" s="20"/>
      <c r="BC341" s="20"/>
      <c r="BD341" s="20"/>
      <c r="BE341" s="20"/>
      <c r="BF341" s="20"/>
      <c r="BG341" s="20"/>
      <c r="BH341" s="20"/>
      <c r="BI341" s="21"/>
      <c r="BJ341" s="21"/>
    </row>
    <row r="342" spans="1:62" ht="15.75" customHeight="1">
      <c r="A342" s="3"/>
      <c r="B342" s="3"/>
      <c r="C342" s="3"/>
      <c r="D342" s="3"/>
      <c r="E342" s="3"/>
      <c r="F342" s="3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20"/>
      <c r="AS342" s="20"/>
      <c r="AT342" s="20"/>
      <c r="AU342" s="20"/>
      <c r="AV342" s="20"/>
      <c r="AW342" s="20"/>
      <c r="AX342" s="20"/>
      <c r="AY342" s="20"/>
      <c r="AZ342" s="20"/>
      <c r="BA342" s="20"/>
      <c r="BB342" s="20"/>
      <c r="BC342" s="20"/>
      <c r="BD342" s="20"/>
      <c r="BE342" s="20"/>
      <c r="BF342" s="20"/>
      <c r="BG342" s="20"/>
      <c r="BH342" s="20"/>
      <c r="BI342" s="21"/>
      <c r="BJ342" s="21"/>
    </row>
    <row r="343" spans="1:62" ht="15.75" customHeight="1">
      <c r="A343" s="3"/>
      <c r="B343" s="3"/>
      <c r="C343" s="3"/>
      <c r="D343" s="3"/>
      <c r="E343" s="3"/>
      <c r="F343" s="3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20"/>
      <c r="AS343" s="20"/>
      <c r="AT343" s="20"/>
      <c r="AU343" s="20"/>
      <c r="AV343" s="20"/>
      <c r="AW343" s="20"/>
      <c r="AX343" s="20"/>
      <c r="AY343" s="20"/>
      <c r="AZ343" s="20"/>
      <c r="BA343" s="20"/>
      <c r="BB343" s="20"/>
      <c r="BC343" s="20"/>
      <c r="BD343" s="20"/>
      <c r="BE343" s="20"/>
      <c r="BF343" s="20"/>
      <c r="BG343" s="20"/>
      <c r="BH343" s="20"/>
      <c r="BI343" s="21"/>
      <c r="BJ343" s="21"/>
    </row>
    <row r="344" spans="1:62" ht="15.75" customHeight="1">
      <c r="A344" s="3"/>
      <c r="B344" s="3"/>
      <c r="C344" s="3"/>
      <c r="D344" s="3"/>
      <c r="E344" s="3"/>
      <c r="F344" s="3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/>
      <c r="AS344" s="20"/>
      <c r="AT344" s="20"/>
      <c r="AU344" s="20"/>
      <c r="AV344" s="20"/>
      <c r="AW344" s="20"/>
      <c r="AX344" s="20"/>
      <c r="AY344" s="20"/>
      <c r="AZ344" s="20"/>
      <c r="BA344" s="20"/>
      <c r="BB344" s="20"/>
      <c r="BC344" s="20"/>
      <c r="BD344" s="20"/>
      <c r="BE344" s="20"/>
      <c r="BF344" s="20"/>
      <c r="BG344" s="20"/>
      <c r="BH344" s="20"/>
      <c r="BI344" s="21"/>
      <c r="BJ344" s="21"/>
    </row>
    <row r="345" spans="1:62" ht="15.75" customHeight="1">
      <c r="A345" s="3"/>
      <c r="B345" s="3"/>
      <c r="C345" s="3"/>
      <c r="D345" s="3"/>
      <c r="E345" s="3"/>
      <c r="F345" s="3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  <c r="AP345" s="20"/>
      <c r="AQ345" s="20"/>
      <c r="AR345" s="20"/>
      <c r="AS345" s="20"/>
      <c r="AT345" s="20"/>
      <c r="AU345" s="20"/>
      <c r="AV345" s="20"/>
      <c r="AW345" s="20"/>
      <c r="AX345" s="20"/>
      <c r="AY345" s="20"/>
      <c r="AZ345" s="20"/>
      <c r="BA345" s="20"/>
      <c r="BB345" s="20"/>
      <c r="BC345" s="20"/>
      <c r="BD345" s="20"/>
      <c r="BE345" s="20"/>
      <c r="BF345" s="20"/>
      <c r="BG345" s="20"/>
      <c r="BH345" s="20"/>
      <c r="BI345" s="21"/>
      <c r="BJ345" s="21"/>
    </row>
    <row r="346" spans="1:62" ht="15.75" customHeight="1">
      <c r="A346" s="3"/>
      <c r="B346" s="3"/>
      <c r="C346" s="3"/>
      <c r="D346" s="3"/>
      <c r="E346" s="3"/>
      <c r="F346" s="3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  <c r="AP346" s="20"/>
      <c r="AQ346" s="20"/>
      <c r="AR346" s="20"/>
      <c r="AS346" s="20"/>
      <c r="AT346" s="20"/>
      <c r="AU346" s="20"/>
      <c r="AV346" s="20"/>
      <c r="AW346" s="20"/>
      <c r="AX346" s="20"/>
      <c r="AY346" s="20"/>
      <c r="AZ346" s="20"/>
      <c r="BA346" s="20"/>
      <c r="BB346" s="20"/>
      <c r="BC346" s="20"/>
      <c r="BD346" s="20"/>
      <c r="BE346" s="20"/>
      <c r="BF346" s="20"/>
      <c r="BG346" s="20"/>
      <c r="BH346" s="20"/>
      <c r="BI346" s="21"/>
      <c r="BJ346" s="21"/>
    </row>
    <row r="347" spans="1:62" ht="15.75" customHeight="1">
      <c r="A347" s="3"/>
      <c r="B347" s="3"/>
      <c r="C347" s="3"/>
      <c r="D347" s="3"/>
      <c r="E347" s="3"/>
      <c r="F347" s="3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  <c r="AP347" s="20"/>
      <c r="AQ347" s="20"/>
      <c r="AR347" s="20"/>
      <c r="AS347" s="20"/>
      <c r="AT347" s="20"/>
      <c r="AU347" s="20"/>
      <c r="AV347" s="20"/>
      <c r="AW347" s="20"/>
      <c r="AX347" s="20"/>
      <c r="AY347" s="20"/>
      <c r="AZ347" s="20"/>
      <c r="BA347" s="20"/>
      <c r="BB347" s="20"/>
      <c r="BC347" s="20"/>
      <c r="BD347" s="20"/>
      <c r="BE347" s="20"/>
      <c r="BF347" s="20"/>
      <c r="BG347" s="20"/>
      <c r="BH347" s="20"/>
      <c r="BI347" s="21"/>
      <c r="BJ347" s="21"/>
    </row>
    <row r="348" spans="1:62" ht="15.75" customHeight="1">
      <c r="A348" s="3"/>
      <c r="B348" s="3"/>
      <c r="C348" s="3"/>
      <c r="D348" s="3"/>
      <c r="E348" s="3"/>
      <c r="F348" s="3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  <c r="AP348" s="20"/>
      <c r="AQ348" s="20"/>
      <c r="AR348" s="20"/>
      <c r="AS348" s="20"/>
      <c r="AT348" s="20"/>
      <c r="AU348" s="20"/>
      <c r="AV348" s="20"/>
      <c r="AW348" s="20"/>
      <c r="AX348" s="20"/>
      <c r="AY348" s="20"/>
      <c r="AZ348" s="20"/>
      <c r="BA348" s="20"/>
      <c r="BB348" s="20"/>
      <c r="BC348" s="20"/>
      <c r="BD348" s="20"/>
      <c r="BE348" s="20"/>
      <c r="BF348" s="20"/>
      <c r="BG348" s="20"/>
      <c r="BH348" s="20"/>
      <c r="BI348" s="21"/>
      <c r="BJ348" s="21"/>
    </row>
    <row r="349" spans="1:62" ht="15.75" customHeight="1">
      <c r="A349" s="3"/>
      <c r="B349" s="3"/>
      <c r="C349" s="3"/>
      <c r="D349" s="3"/>
      <c r="E349" s="3"/>
      <c r="F349" s="3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  <c r="AP349" s="20"/>
      <c r="AQ349" s="20"/>
      <c r="AR349" s="20"/>
      <c r="AS349" s="20"/>
      <c r="AT349" s="20"/>
      <c r="AU349" s="20"/>
      <c r="AV349" s="20"/>
      <c r="AW349" s="20"/>
      <c r="AX349" s="20"/>
      <c r="AY349" s="20"/>
      <c r="AZ349" s="20"/>
      <c r="BA349" s="20"/>
      <c r="BB349" s="20"/>
      <c r="BC349" s="20"/>
      <c r="BD349" s="20"/>
      <c r="BE349" s="20"/>
      <c r="BF349" s="20"/>
      <c r="BG349" s="20"/>
      <c r="BH349" s="20"/>
      <c r="BI349" s="21"/>
      <c r="BJ349" s="21"/>
    </row>
    <row r="350" spans="1:62" ht="15.75" customHeight="1">
      <c r="A350" s="3"/>
      <c r="B350" s="3"/>
      <c r="C350" s="3"/>
      <c r="D350" s="3"/>
      <c r="E350" s="3"/>
      <c r="F350" s="3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  <c r="AP350" s="20"/>
      <c r="AQ350" s="20"/>
      <c r="AR350" s="20"/>
      <c r="AS350" s="20"/>
      <c r="AT350" s="20"/>
      <c r="AU350" s="20"/>
      <c r="AV350" s="20"/>
      <c r="AW350" s="20"/>
      <c r="AX350" s="20"/>
      <c r="AY350" s="20"/>
      <c r="AZ350" s="20"/>
      <c r="BA350" s="20"/>
      <c r="BB350" s="20"/>
      <c r="BC350" s="20"/>
      <c r="BD350" s="20"/>
      <c r="BE350" s="20"/>
      <c r="BF350" s="20"/>
      <c r="BG350" s="20"/>
      <c r="BH350" s="20"/>
      <c r="BI350" s="21"/>
      <c r="BJ350" s="21"/>
    </row>
    <row r="351" spans="1:62" ht="15.75" customHeight="1">
      <c r="A351" s="3"/>
      <c r="B351" s="3"/>
      <c r="C351" s="3"/>
      <c r="D351" s="3"/>
      <c r="E351" s="3"/>
      <c r="F351" s="3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  <c r="AP351" s="20"/>
      <c r="AQ351" s="20"/>
      <c r="AR351" s="20"/>
      <c r="AS351" s="20"/>
      <c r="AT351" s="20"/>
      <c r="AU351" s="20"/>
      <c r="AV351" s="20"/>
      <c r="AW351" s="20"/>
      <c r="AX351" s="20"/>
      <c r="AY351" s="20"/>
      <c r="AZ351" s="20"/>
      <c r="BA351" s="20"/>
      <c r="BB351" s="20"/>
      <c r="BC351" s="20"/>
      <c r="BD351" s="20"/>
      <c r="BE351" s="20"/>
      <c r="BF351" s="20"/>
      <c r="BG351" s="20"/>
      <c r="BH351" s="20"/>
      <c r="BI351" s="21"/>
      <c r="BJ351" s="21"/>
    </row>
    <row r="352" spans="1:62" ht="15.75" customHeight="1">
      <c r="A352" s="3"/>
      <c r="B352" s="3"/>
      <c r="C352" s="3"/>
      <c r="D352" s="3"/>
      <c r="E352" s="3"/>
      <c r="F352" s="3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  <c r="AP352" s="20"/>
      <c r="AQ352" s="20"/>
      <c r="AR352" s="20"/>
      <c r="AS352" s="20"/>
      <c r="AT352" s="20"/>
      <c r="AU352" s="20"/>
      <c r="AV352" s="20"/>
      <c r="AW352" s="20"/>
      <c r="AX352" s="20"/>
      <c r="AY352" s="20"/>
      <c r="AZ352" s="20"/>
      <c r="BA352" s="20"/>
      <c r="BB352" s="20"/>
      <c r="BC352" s="20"/>
      <c r="BD352" s="20"/>
      <c r="BE352" s="20"/>
      <c r="BF352" s="20"/>
      <c r="BG352" s="20"/>
      <c r="BH352" s="20"/>
      <c r="BI352" s="21"/>
      <c r="BJ352" s="21"/>
    </row>
    <row r="353" spans="1:62" ht="15.75" customHeight="1">
      <c r="A353" s="3"/>
      <c r="B353" s="3"/>
      <c r="C353" s="3"/>
      <c r="D353" s="3"/>
      <c r="E353" s="3"/>
      <c r="F353" s="3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  <c r="AP353" s="20"/>
      <c r="AQ353" s="20"/>
      <c r="AR353" s="20"/>
      <c r="AS353" s="20"/>
      <c r="AT353" s="20"/>
      <c r="AU353" s="20"/>
      <c r="AV353" s="20"/>
      <c r="AW353" s="20"/>
      <c r="AX353" s="20"/>
      <c r="AY353" s="20"/>
      <c r="AZ353" s="20"/>
      <c r="BA353" s="20"/>
      <c r="BB353" s="20"/>
      <c r="BC353" s="20"/>
      <c r="BD353" s="20"/>
      <c r="BE353" s="20"/>
      <c r="BF353" s="20"/>
      <c r="BG353" s="20"/>
      <c r="BH353" s="20"/>
      <c r="BI353" s="21"/>
      <c r="BJ353" s="21"/>
    </row>
    <row r="354" spans="1:62" ht="15.75" customHeight="1">
      <c r="A354" s="3"/>
      <c r="B354" s="3"/>
      <c r="C354" s="3"/>
      <c r="D354" s="3"/>
      <c r="E354" s="3"/>
      <c r="F354" s="3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0"/>
      <c r="BA354" s="20"/>
      <c r="BB354" s="20"/>
      <c r="BC354" s="20"/>
      <c r="BD354" s="20"/>
      <c r="BE354" s="20"/>
      <c r="BF354" s="20"/>
      <c r="BG354" s="20"/>
      <c r="BH354" s="20"/>
      <c r="BI354" s="21"/>
      <c r="BJ354" s="21"/>
    </row>
    <row r="355" spans="1:62" ht="15.75" customHeight="1">
      <c r="A355" s="3"/>
      <c r="B355" s="3"/>
      <c r="C355" s="3"/>
      <c r="D355" s="3"/>
      <c r="E355" s="3"/>
      <c r="F355" s="3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  <c r="AP355" s="20"/>
      <c r="AQ355" s="20"/>
      <c r="AR355" s="20"/>
      <c r="AS355" s="20"/>
      <c r="AT355" s="20"/>
      <c r="AU355" s="20"/>
      <c r="AV355" s="20"/>
      <c r="AW355" s="20"/>
      <c r="AX355" s="20"/>
      <c r="AY355" s="20"/>
      <c r="AZ355" s="20"/>
      <c r="BA355" s="20"/>
      <c r="BB355" s="20"/>
      <c r="BC355" s="20"/>
      <c r="BD355" s="20"/>
      <c r="BE355" s="20"/>
      <c r="BF355" s="20"/>
      <c r="BG355" s="20"/>
      <c r="BH355" s="20"/>
      <c r="BI355" s="21"/>
      <c r="BJ355" s="21"/>
    </row>
    <row r="356" spans="1:62" ht="15.75" customHeight="1">
      <c r="A356" s="3"/>
      <c r="B356" s="3"/>
      <c r="C356" s="3"/>
      <c r="D356" s="3"/>
      <c r="E356" s="3"/>
      <c r="F356" s="3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  <c r="AP356" s="20"/>
      <c r="AQ356" s="20"/>
      <c r="AR356" s="20"/>
      <c r="AS356" s="20"/>
      <c r="AT356" s="20"/>
      <c r="AU356" s="20"/>
      <c r="AV356" s="20"/>
      <c r="AW356" s="20"/>
      <c r="AX356" s="20"/>
      <c r="AY356" s="20"/>
      <c r="AZ356" s="20"/>
      <c r="BA356" s="20"/>
      <c r="BB356" s="20"/>
      <c r="BC356" s="20"/>
      <c r="BD356" s="20"/>
      <c r="BE356" s="20"/>
      <c r="BF356" s="20"/>
      <c r="BG356" s="20"/>
      <c r="BH356" s="20"/>
      <c r="BI356" s="21"/>
      <c r="BJ356" s="21"/>
    </row>
    <row r="357" spans="1:62" ht="15.75" customHeight="1">
      <c r="A357" s="3"/>
      <c r="B357" s="3"/>
      <c r="C357" s="3"/>
      <c r="D357" s="3"/>
      <c r="E357" s="3"/>
      <c r="F357" s="3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  <c r="AP357" s="20"/>
      <c r="AQ357" s="20"/>
      <c r="AR357" s="20"/>
      <c r="AS357" s="20"/>
      <c r="AT357" s="20"/>
      <c r="AU357" s="20"/>
      <c r="AV357" s="20"/>
      <c r="AW357" s="20"/>
      <c r="AX357" s="20"/>
      <c r="AY357" s="20"/>
      <c r="AZ357" s="20"/>
      <c r="BA357" s="20"/>
      <c r="BB357" s="20"/>
      <c r="BC357" s="20"/>
      <c r="BD357" s="20"/>
      <c r="BE357" s="20"/>
      <c r="BF357" s="20"/>
      <c r="BG357" s="20"/>
      <c r="BH357" s="20"/>
      <c r="BI357" s="21"/>
      <c r="BJ357" s="21"/>
    </row>
    <row r="358" spans="1:62" ht="15.75" customHeight="1">
      <c r="A358" s="3"/>
      <c r="B358" s="3"/>
      <c r="C358" s="3"/>
      <c r="D358" s="3"/>
      <c r="E358" s="3"/>
      <c r="F358" s="3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  <c r="AP358" s="20"/>
      <c r="AQ358" s="20"/>
      <c r="AR358" s="20"/>
      <c r="AS358" s="20"/>
      <c r="AT358" s="20"/>
      <c r="AU358" s="20"/>
      <c r="AV358" s="20"/>
      <c r="AW358" s="20"/>
      <c r="AX358" s="20"/>
      <c r="AY358" s="20"/>
      <c r="AZ358" s="20"/>
      <c r="BA358" s="20"/>
      <c r="BB358" s="20"/>
      <c r="BC358" s="20"/>
      <c r="BD358" s="20"/>
      <c r="BE358" s="20"/>
      <c r="BF358" s="20"/>
      <c r="BG358" s="20"/>
      <c r="BH358" s="20"/>
      <c r="BI358" s="21"/>
      <c r="BJ358" s="21"/>
    </row>
    <row r="359" spans="1:62" ht="15.75" customHeight="1">
      <c r="A359" s="3"/>
      <c r="B359" s="3"/>
      <c r="C359" s="3"/>
      <c r="D359" s="3"/>
      <c r="E359" s="3"/>
      <c r="F359" s="3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  <c r="AP359" s="20"/>
      <c r="AQ359" s="20"/>
      <c r="AR359" s="20"/>
      <c r="AS359" s="20"/>
      <c r="AT359" s="20"/>
      <c r="AU359" s="20"/>
      <c r="AV359" s="20"/>
      <c r="AW359" s="20"/>
      <c r="AX359" s="20"/>
      <c r="AY359" s="20"/>
      <c r="AZ359" s="20"/>
      <c r="BA359" s="20"/>
      <c r="BB359" s="20"/>
      <c r="BC359" s="20"/>
      <c r="BD359" s="20"/>
      <c r="BE359" s="20"/>
      <c r="BF359" s="20"/>
      <c r="BG359" s="20"/>
      <c r="BH359" s="20"/>
      <c r="BI359" s="21"/>
      <c r="BJ359" s="21"/>
    </row>
    <row r="360" spans="1:62" ht="15.75" customHeight="1">
      <c r="A360" s="3"/>
      <c r="B360" s="3"/>
      <c r="C360" s="3"/>
      <c r="D360" s="3"/>
      <c r="E360" s="3"/>
      <c r="F360" s="3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  <c r="AP360" s="20"/>
      <c r="AQ360" s="20"/>
      <c r="AR360" s="20"/>
      <c r="AS360" s="20"/>
      <c r="AT360" s="20"/>
      <c r="AU360" s="20"/>
      <c r="AV360" s="20"/>
      <c r="AW360" s="20"/>
      <c r="AX360" s="20"/>
      <c r="AY360" s="20"/>
      <c r="AZ360" s="20"/>
      <c r="BA360" s="20"/>
      <c r="BB360" s="20"/>
      <c r="BC360" s="20"/>
      <c r="BD360" s="20"/>
      <c r="BE360" s="20"/>
      <c r="BF360" s="20"/>
      <c r="BG360" s="20"/>
      <c r="BH360" s="20"/>
      <c r="BI360" s="21"/>
      <c r="BJ360" s="21"/>
    </row>
    <row r="361" spans="1:62" ht="15.75" customHeight="1">
      <c r="A361" s="3"/>
      <c r="B361" s="3"/>
      <c r="C361" s="3"/>
      <c r="D361" s="3"/>
      <c r="E361" s="3"/>
      <c r="F361" s="3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  <c r="AP361" s="20"/>
      <c r="AQ361" s="20"/>
      <c r="AR361" s="20"/>
      <c r="AS361" s="20"/>
      <c r="AT361" s="20"/>
      <c r="AU361" s="20"/>
      <c r="AV361" s="20"/>
      <c r="AW361" s="20"/>
      <c r="AX361" s="20"/>
      <c r="AY361" s="20"/>
      <c r="AZ361" s="20"/>
      <c r="BA361" s="20"/>
      <c r="BB361" s="20"/>
      <c r="BC361" s="20"/>
      <c r="BD361" s="20"/>
      <c r="BE361" s="20"/>
      <c r="BF361" s="20"/>
      <c r="BG361" s="20"/>
      <c r="BH361" s="20"/>
      <c r="BI361" s="21"/>
      <c r="BJ361" s="21"/>
    </row>
    <row r="362" spans="1:62" ht="15.75" customHeight="1">
      <c r="A362" s="3"/>
      <c r="B362" s="3"/>
      <c r="C362" s="3"/>
      <c r="D362" s="3"/>
      <c r="E362" s="3"/>
      <c r="F362" s="3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  <c r="AP362" s="20"/>
      <c r="AQ362" s="20"/>
      <c r="AR362" s="20"/>
      <c r="AS362" s="20"/>
      <c r="AT362" s="20"/>
      <c r="AU362" s="20"/>
      <c r="AV362" s="20"/>
      <c r="AW362" s="20"/>
      <c r="AX362" s="20"/>
      <c r="AY362" s="20"/>
      <c r="AZ362" s="20"/>
      <c r="BA362" s="20"/>
      <c r="BB362" s="20"/>
      <c r="BC362" s="20"/>
      <c r="BD362" s="20"/>
      <c r="BE362" s="20"/>
      <c r="BF362" s="20"/>
      <c r="BG362" s="20"/>
      <c r="BH362" s="20"/>
      <c r="BI362" s="21"/>
      <c r="BJ362" s="21"/>
    </row>
    <row r="363" spans="1:62" ht="15.75" customHeight="1">
      <c r="A363" s="3"/>
      <c r="B363" s="3"/>
      <c r="C363" s="3"/>
      <c r="D363" s="3"/>
      <c r="E363" s="3"/>
      <c r="F363" s="3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  <c r="AP363" s="20"/>
      <c r="AQ363" s="20"/>
      <c r="AR363" s="20"/>
      <c r="AS363" s="20"/>
      <c r="AT363" s="20"/>
      <c r="AU363" s="20"/>
      <c r="AV363" s="20"/>
      <c r="AW363" s="20"/>
      <c r="AX363" s="20"/>
      <c r="AY363" s="20"/>
      <c r="AZ363" s="20"/>
      <c r="BA363" s="20"/>
      <c r="BB363" s="20"/>
      <c r="BC363" s="20"/>
      <c r="BD363" s="20"/>
      <c r="BE363" s="20"/>
      <c r="BF363" s="20"/>
      <c r="BG363" s="20"/>
      <c r="BH363" s="20"/>
      <c r="BI363" s="21"/>
      <c r="BJ363" s="21"/>
    </row>
    <row r="364" spans="1:62" ht="15.75" customHeight="1">
      <c r="A364" s="3"/>
      <c r="B364" s="3"/>
      <c r="C364" s="3"/>
      <c r="D364" s="3"/>
      <c r="E364" s="3"/>
      <c r="F364" s="3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  <c r="AP364" s="20"/>
      <c r="AQ364" s="20"/>
      <c r="AR364" s="20"/>
      <c r="AS364" s="20"/>
      <c r="AT364" s="20"/>
      <c r="AU364" s="20"/>
      <c r="AV364" s="20"/>
      <c r="AW364" s="20"/>
      <c r="AX364" s="20"/>
      <c r="AY364" s="20"/>
      <c r="AZ364" s="20"/>
      <c r="BA364" s="20"/>
      <c r="BB364" s="20"/>
      <c r="BC364" s="20"/>
      <c r="BD364" s="20"/>
      <c r="BE364" s="20"/>
      <c r="BF364" s="20"/>
      <c r="BG364" s="20"/>
      <c r="BH364" s="20"/>
      <c r="BI364" s="21"/>
      <c r="BJ364" s="21"/>
    </row>
    <row r="365" spans="1:62" ht="15.75" customHeight="1">
      <c r="A365" s="3"/>
      <c r="B365" s="3"/>
      <c r="C365" s="3"/>
      <c r="D365" s="3"/>
      <c r="E365" s="3"/>
      <c r="F365" s="3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  <c r="AP365" s="20"/>
      <c r="AQ365" s="20"/>
      <c r="AR365" s="20"/>
      <c r="AS365" s="20"/>
      <c r="AT365" s="20"/>
      <c r="AU365" s="20"/>
      <c r="AV365" s="20"/>
      <c r="AW365" s="20"/>
      <c r="AX365" s="20"/>
      <c r="AY365" s="20"/>
      <c r="AZ365" s="20"/>
      <c r="BA365" s="20"/>
      <c r="BB365" s="20"/>
      <c r="BC365" s="20"/>
      <c r="BD365" s="20"/>
      <c r="BE365" s="20"/>
      <c r="BF365" s="20"/>
      <c r="BG365" s="20"/>
      <c r="BH365" s="20"/>
      <c r="BI365" s="21"/>
      <c r="BJ365" s="21"/>
    </row>
    <row r="366" spans="1:62" ht="15.75" customHeight="1">
      <c r="A366" s="3"/>
      <c r="B366" s="3"/>
      <c r="C366" s="3"/>
      <c r="D366" s="3"/>
      <c r="E366" s="3"/>
      <c r="F366" s="3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1"/>
      <c r="BJ366" s="21"/>
    </row>
    <row r="367" spans="1:62" ht="15.75" customHeight="1">
      <c r="A367" s="3"/>
      <c r="B367" s="3"/>
      <c r="C367" s="3"/>
      <c r="D367" s="3"/>
      <c r="E367" s="3"/>
      <c r="F367" s="3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  <c r="AP367" s="20"/>
      <c r="AQ367" s="20"/>
      <c r="AR367" s="20"/>
      <c r="AS367" s="20"/>
      <c r="AT367" s="20"/>
      <c r="AU367" s="20"/>
      <c r="AV367" s="20"/>
      <c r="AW367" s="20"/>
      <c r="AX367" s="20"/>
      <c r="AY367" s="20"/>
      <c r="AZ367" s="20"/>
      <c r="BA367" s="20"/>
      <c r="BB367" s="20"/>
      <c r="BC367" s="20"/>
      <c r="BD367" s="20"/>
      <c r="BE367" s="20"/>
      <c r="BF367" s="20"/>
      <c r="BG367" s="20"/>
      <c r="BH367" s="20"/>
      <c r="BI367" s="21"/>
      <c r="BJ367" s="21"/>
    </row>
    <row r="368" spans="1:62" ht="15.75" customHeight="1">
      <c r="A368" s="3"/>
      <c r="B368" s="3"/>
      <c r="C368" s="3"/>
      <c r="D368" s="3"/>
      <c r="E368" s="3"/>
      <c r="F368" s="3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/>
      <c r="AS368" s="20"/>
      <c r="AT368" s="20"/>
      <c r="AU368" s="20"/>
      <c r="AV368" s="20"/>
      <c r="AW368" s="20"/>
      <c r="AX368" s="20"/>
      <c r="AY368" s="20"/>
      <c r="AZ368" s="20"/>
      <c r="BA368" s="20"/>
      <c r="BB368" s="20"/>
      <c r="BC368" s="20"/>
      <c r="BD368" s="20"/>
      <c r="BE368" s="20"/>
      <c r="BF368" s="20"/>
      <c r="BG368" s="20"/>
      <c r="BH368" s="20"/>
      <c r="BI368" s="21"/>
      <c r="BJ368" s="21"/>
    </row>
    <row r="369" spans="1:62" ht="15.75" customHeight="1">
      <c r="A369" s="3"/>
      <c r="B369" s="3"/>
      <c r="C369" s="3"/>
      <c r="D369" s="3"/>
      <c r="E369" s="3"/>
      <c r="F369" s="3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/>
      <c r="AS369" s="20"/>
      <c r="AT369" s="20"/>
      <c r="AU369" s="20"/>
      <c r="AV369" s="20"/>
      <c r="AW369" s="20"/>
      <c r="AX369" s="20"/>
      <c r="AY369" s="20"/>
      <c r="AZ369" s="20"/>
      <c r="BA369" s="20"/>
      <c r="BB369" s="20"/>
      <c r="BC369" s="20"/>
      <c r="BD369" s="20"/>
      <c r="BE369" s="20"/>
      <c r="BF369" s="20"/>
      <c r="BG369" s="20"/>
      <c r="BH369" s="20"/>
      <c r="BI369" s="21"/>
      <c r="BJ369" s="21"/>
    </row>
    <row r="370" spans="1:62" ht="15.75" customHeight="1">
      <c r="A370" s="3"/>
      <c r="B370" s="3"/>
      <c r="C370" s="3"/>
      <c r="D370" s="3"/>
      <c r="E370" s="3"/>
      <c r="F370" s="3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/>
      <c r="AS370" s="20"/>
      <c r="AT370" s="20"/>
      <c r="AU370" s="20"/>
      <c r="AV370" s="20"/>
      <c r="AW370" s="20"/>
      <c r="AX370" s="20"/>
      <c r="AY370" s="20"/>
      <c r="AZ370" s="20"/>
      <c r="BA370" s="20"/>
      <c r="BB370" s="20"/>
      <c r="BC370" s="20"/>
      <c r="BD370" s="20"/>
      <c r="BE370" s="20"/>
      <c r="BF370" s="20"/>
      <c r="BG370" s="20"/>
      <c r="BH370" s="20"/>
      <c r="BI370" s="21"/>
      <c r="BJ370" s="21"/>
    </row>
    <row r="371" spans="1:62" ht="15.75" customHeight="1">
      <c r="A371" s="3"/>
      <c r="B371" s="3"/>
      <c r="C371" s="3"/>
      <c r="D371" s="3"/>
      <c r="E371" s="3"/>
      <c r="F371" s="3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/>
      <c r="AS371" s="20"/>
      <c r="AT371" s="20"/>
      <c r="AU371" s="20"/>
      <c r="AV371" s="20"/>
      <c r="AW371" s="20"/>
      <c r="AX371" s="20"/>
      <c r="AY371" s="20"/>
      <c r="AZ371" s="20"/>
      <c r="BA371" s="20"/>
      <c r="BB371" s="20"/>
      <c r="BC371" s="20"/>
      <c r="BD371" s="20"/>
      <c r="BE371" s="20"/>
      <c r="BF371" s="20"/>
      <c r="BG371" s="20"/>
      <c r="BH371" s="20"/>
      <c r="BI371" s="21"/>
      <c r="BJ371" s="21"/>
    </row>
    <row r="372" spans="1:62" ht="15.75" customHeight="1">
      <c r="A372" s="3"/>
      <c r="B372" s="3"/>
      <c r="C372" s="3"/>
      <c r="D372" s="3"/>
      <c r="E372" s="3"/>
      <c r="F372" s="3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/>
      <c r="AS372" s="20"/>
      <c r="AT372" s="20"/>
      <c r="AU372" s="20"/>
      <c r="AV372" s="20"/>
      <c r="AW372" s="20"/>
      <c r="AX372" s="20"/>
      <c r="AY372" s="20"/>
      <c r="AZ372" s="20"/>
      <c r="BA372" s="20"/>
      <c r="BB372" s="20"/>
      <c r="BC372" s="20"/>
      <c r="BD372" s="20"/>
      <c r="BE372" s="20"/>
      <c r="BF372" s="20"/>
      <c r="BG372" s="20"/>
      <c r="BH372" s="20"/>
      <c r="BI372" s="21"/>
      <c r="BJ372" s="21"/>
    </row>
    <row r="373" spans="1:62" ht="15.75" customHeight="1">
      <c r="A373" s="3"/>
      <c r="B373" s="3"/>
      <c r="C373" s="3"/>
      <c r="D373" s="3"/>
      <c r="E373" s="3"/>
      <c r="F373" s="3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  <c r="AP373" s="20"/>
      <c r="AQ373" s="20"/>
      <c r="AR373" s="20"/>
      <c r="AS373" s="20"/>
      <c r="AT373" s="20"/>
      <c r="AU373" s="20"/>
      <c r="AV373" s="20"/>
      <c r="AW373" s="20"/>
      <c r="AX373" s="20"/>
      <c r="AY373" s="20"/>
      <c r="AZ373" s="20"/>
      <c r="BA373" s="20"/>
      <c r="BB373" s="20"/>
      <c r="BC373" s="20"/>
      <c r="BD373" s="20"/>
      <c r="BE373" s="20"/>
      <c r="BF373" s="20"/>
      <c r="BG373" s="20"/>
      <c r="BH373" s="20"/>
      <c r="BI373" s="21"/>
      <c r="BJ373" s="21"/>
    </row>
    <row r="374" spans="1:62" ht="15.75" customHeight="1">
      <c r="A374" s="3"/>
      <c r="B374" s="3"/>
      <c r="C374" s="3"/>
      <c r="D374" s="3"/>
      <c r="E374" s="3"/>
      <c r="F374" s="3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  <c r="AP374" s="20"/>
      <c r="AQ374" s="20"/>
      <c r="AR374" s="20"/>
      <c r="AS374" s="20"/>
      <c r="AT374" s="20"/>
      <c r="AU374" s="20"/>
      <c r="AV374" s="20"/>
      <c r="AW374" s="20"/>
      <c r="AX374" s="20"/>
      <c r="AY374" s="20"/>
      <c r="AZ374" s="20"/>
      <c r="BA374" s="20"/>
      <c r="BB374" s="20"/>
      <c r="BC374" s="20"/>
      <c r="BD374" s="20"/>
      <c r="BE374" s="20"/>
      <c r="BF374" s="20"/>
      <c r="BG374" s="20"/>
      <c r="BH374" s="20"/>
      <c r="BI374" s="21"/>
      <c r="BJ374" s="21"/>
    </row>
    <row r="375" spans="1:62" ht="15.75" customHeight="1">
      <c r="A375" s="3"/>
      <c r="B375" s="3"/>
      <c r="C375" s="3"/>
      <c r="D375" s="3"/>
      <c r="E375" s="3"/>
      <c r="F375" s="3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  <c r="AP375" s="20"/>
      <c r="AQ375" s="20"/>
      <c r="AR375" s="20"/>
      <c r="AS375" s="20"/>
      <c r="AT375" s="20"/>
      <c r="AU375" s="20"/>
      <c r="AV375" s="20"/>
      <c r="AW375" s="20"/>
      <c r="AX375" s="20"/>
      <c r="AY375" s="20"/>
      <c r="AZ375" s="20"/>
      <c r="BA375" s="20"/>
      <c r="BB375" s="20"/>
      <c r="BC375" s="20"/>
      <c r="BD375" s="20"/>
      <c r="BE375" s="20"/>
      <c r="BF375" s="20"/>
      <c r="BG375" s="20"/>
      <c r="BH375" s="20"/>
      <c r="BI375" s="21"/>
      <c r="BJ375" s="21"/>
    </row>
    <row r="376" spans="1:62" ht="15.75" customHeight="1">
      <c r="A376" s="3"/>
      <c r="B376" s="3"/>
      <c r="C376" s="3"/>
      <c r="D376" s="3"/>
      <c r="E376" s="3"/>
      <c r="F376" s="3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  <c r="AP376" s="20"/>
      <c r="AQ376" s="20"/>
      <c r="AR376" s="20"/>
      <c r="AS376" s="20"/>
      <c r="AT376" s="20"/>
      <c r="AU376" s="20"/>
      <c r="AV376" s="20"/>
      <c r="AW376" s="20"/>
      <c r="AX376" s="20"/>
      <c r="AY376" s="20"/>
      <c r="AZ376" s="20"/>
      <c r="BA376" s="20"/>
      <c r="BB376" s="20"/>
      <c r="BC376" s="20"/>
      <c r="BD376" s="20"/>
      <c r="BE376" s="20"/>
      <c r="BF376" s="20"/>
      <c r="BG376" s="20"/>
      <c r="BH376" s="20"/>
      <c r="BI376" s="21"/>
      <c r="BJ376" s="21"/>
    </row>
    <row r="377" spans="1:62" ht="15.75" customHeight="1">
      <c r="A377" s="3"/>
      <c r="B377" s="3"/>
      <c r="C377" s="3"/>
      <c r="D377" s="3"/>
      <c r="E377" s="3"/>
      <c r="F377" s="3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/>
      <c r="AW377" s="20"/>
      <c r="AX377" s="20"/>
      <c r="AY377" s="20"/>
      <c r="AZ377" s="20"/>
      <c r="BA377" s="20"/>
      <c r="BB377" s="20"/>
      <c r="BC377" s="20"/>
      <c r="BD377" s="20"/>
      <c r="BE377" s="20"/>
      <c r="BF377" s="20"/>
      <c r="BG377" s="20"/>
      <c r="BH377" s="20"/>
      <c r="BI377" s="21"/>
      <c r="BJ377" s="21"/>
    </row>
    <row r="378" spans="1:62" ht="15.75" customHeight="1">
      <c r="A378" s="3"/>
      <c r="B378" s="3"/>
      <c r="C378" s="3"/>
      <c r="D378" s="3"/>
      <c r="E378" s="3"/>
      <c r="F378" s="3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/>
      <c r="AW378" s="20"/>
      <c r="AX378" s="20"/>
      <c r="AY378" s="20"/>
      <c r="AZ378" s="20"/>
      <c r="BA378" s="20"/>
      <c r="BB378" s="20"/>
      <c r="BC378" s="20"/>
      <c r="BD378" s="20"/>
      <c r="BE378" s="20"/>
      <c r="BF378" s="20"/>
      <c r="BG378" s="20"/>
      <c r="BH378" s="20"/>
      <c r="BI378" s="21"/>
      <c r="BJ378" s="21"/>
    </row>
    <row r="379" spans="1:62" ht="15.75" customHeight="1">
      <c r="A379" s="3"/>
      <c r="B379" s="3"/>
      <c r="C379" s="3"/>
      <c r="D379" s="3"/>
      <c r="E379" s="3"/>
      <c r="F379" s="3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/>
      <c r="AW379" s="20"/>
      <c r="AX379" s="20"/>
      <c r="AY379" s="20"/>
      <c r="AZ379" s="20"/>
      <c r="BA379" s="20"/>
      <c r="BB379" s="20"/>
      <c r="BC379" s="20"/>
      <c r="BD379" s="20"/>
      <c r="BE379" s="20"/>
      <c r="BF379" s="20"/>
      <c r="BG379" s="20"/>
      <c r="BH379" s="20"/>
      <c r="BI379" s="21"/>
      <c r="BJ379" s="21"/>
    </row>
    <row r="380" spans="1:62" ht="15.75" customHeight="1">
      <c r="A380" s="3"/>
      <c r="B380" s="3"/>
      <c r="C380" s="3"/>
      <c r="D380" s="3"/>
      <c r="E380" s="3"/>
      <c r="F380" s="3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/>
      <c r="AW380" s="20"/>
      <c r="AX380" s="20"/>
      <c r="AY380" s="20"/>
      <c r="AZ380" s="20"/>
      <c r="BA380" s="20"/>
      <c r="BB380" s="20"/>
      <c r="BC380" s="20"/>
      <c r="BD380" s="20"/>
      <c r="BE380" s="20"/>
      <c r="BF380" s="20"/>
      <c r="BG380" s="20"/>
      <c r="BH380" s="20"/>
      <c r="BI380" s="21"/>
      <c r="BJ380" s="21"/>
    </row>
    <row r="381" spans="1:62" ht="15.75" customHeight="1">
      <c r="A381" s="3"/>
      <c r="B381" s="3"/>
      <c r="C381" s="3"/>
      <c r="D381" s="3"/>
      <c r="E381" s="3"/>
      <c r="F381" s="3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/>
      <c r="AW381" s="20"/>
      <c r="AX381" s="20"/>
      <c r="AY381" s="20"/>
      <c r="AZ381" s="20"/>
      <c r="BA381" s="20"/>
      <c r="BB381" s="20"/>
      <c r="BC381" s="20"/>
      <c r="BD381" s="20"/>
      <c r="BE381" s="20"/>
      <c r="BF381" s="20"/>
      <c r="BG381" s="20"/>
      <c r="BH381" s="20"/>
      <c r="BI381" s="21"/>
      <c r="BJ381" s="21"/>
    </row>
    <row r="382" spans="1:62" ht="15.75" customHeight="1">
      <c r="A382" s="3"/>
      <c r="B382" s="3"/>
      <c r="C382" s="3"/>
      <c r="D382" s="3"/>
      <c r="E382" s="3"/>
      <c r="F382" s="3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/>
      <c r="AW382" s="20"/>
      <c r="AX382" s="20"/>
      <c r="AY382" s="20"/>
      <c r="AZ382" s="20"/>
      <c r="BA382" s="20"/>
      <c r="BB382" s="20"/>
      <c r="BC382" s="20"/>
      <c r="BD382" s="20"/>
      <c r="BE382" s="20"/>
      <c r="BF382" s="20"/>
      <c r="BG382" s="20"/>
      <c r="BH382" s="20"/>
      <c r="BI382" s="21"/>
      <c r="BJ382" s="21"/>
    </row>
    <row r="383" spans="1:62" ht="15.75" customHeight="1">
      <c r="A383" s="3"/>
      <c r="B383" s="3"/>
      <c r="C383" s="3"/>
      <c r="D383" s="3"/>
      <c r="E383" s="3"/>
      <c r="F383" s="3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/>
      <c r="AW383" s="20"/>
      <c r="AX383" s="20"/>
      <c r="AY383" s="20"/>
      <c r="AZ383" s="20"/>
      <c r="BA383" s="20"/>
      <c r="BB383" s="20"/>
      <c r="BC383" s="20"/>
      <c r="BD383" s="20"/>
      <c r="BE383" s="20"/>
      <c r="BF383" s="20"/>
      <c r="BG383" s="20"/>
      <c r="BH383" s="20"/>
      <c r="BI383" s="21"/>
      <c r="BJ383" s="21"/>
    </row>
    <row r="384" spans="1:62" ht="15.75" customHeight="1">
      <c r="A384" s="3"/>
      <c r="B384" s="3"/>
      <c r="C384" s="3"/>
      <c r="D384" s="3"/>
      <c r="E384" s="3"/>
      <c r="F384" s="3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/>
      <c r="AW384" s="20"/>
      <c r="AX384" s="20"/>
      <c r="AY384" s="20"/>
      <c r="AZ384" s="20"/>
      <c r="BA384" s="20"/>
      <c r="BB384" s="20"/>
      <c r="BC384" s="20"/>
      <c r="BD384" s="20"/>
      <c r="BE384" s="20"/>
      <c r="BF384" s="20"/>
      <c r="BG384" s="20"/>
      <c r="BH384" s="20"/>
      <c r="BI384" s="21"/>
      <c r="BJ384" s="21"/>
    </row>
    <row r="385" spans="1:62" ht="15.75" customHeight="1">
      <c r="A385" s="3"/>
      <c r="B385" s="3"/>
      <c r="C385" s="3"/>
      <c r="D385" s="3"/>
      <c r="E385" s="3"/>
      <c r="F385" s="3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/>
      <c r="AW385" s="20"/>
      <c r="AX385" s="20"/>
      <c r="AY385" s="20"/>
      <c r="AZ385" s="20"/>
      <c r="BA385" s="20"/>
      <c r="BB385" s="20"/>
      <c r="BC385" s="20"/>
      <c r="BD385" s="20"/>
      <c r="BE385" s="20"/>
      <c r="BF385" s="20"/>
      <c r="BG385" s="20"/>
      <c r="BH385" s="20"/>
      <c r="BI385" s="21"/>
      <c r="BJ385" s="21"/>
    </row>
    <row r="386" spans="1:62" ht="15.75" customHeight="1">
      <c r="A386" s="3"/>
      <c r="B386" s="3"/>
      <c r="C386" s="3"/>
      <c r="D386" s="3"/>
      <c r="E386" s="3"/>
      <c r="F386" s="3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/>
      <c r="AW386" s="20"/>
      <c r="AX386" s="20"/>
      <c r="AY386" s="20"/>
      <c r="AZ386" s="20"/>
      <c r="BA386" s="20"/>
      <c r="BB386" s="20"/>
      <c r="BC386" s="20"/>
      <c r="BD386" s="20"/>
      <c r="BE386" s="20"/>
      <c r="BF386" s="20"/>
      <c r="BG386" s="20"/>
      <c r="BH386" s="20"/>
      <c r="BI386" s="21"/>
      <c r="BJ386" s="21"/>
    </row>
    <row r="387" spans="1:62" ht="15.75" customHeight="1">
      <c r="A387" s="3"/>
      <c r="B387" s="3"/>
      <c r="C387" s="3"/>
      <c r="D387" s="3"/>
      <c r="E387" s="3"/>
      <c r="F387" s="3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/>
      <c r="AW387" s="20"/>
      <c r="AX387" s="20"/>
      <c r="AY387" s="20"/>
      <c r="AZ387" s="20"/>
      <c r="BA387" s="20"/>
      <c r="BB387" s="20"/>
      <c r="BC387" s="20"/>
      <c r="BD387" s="20"/>
      <c r="BE387" s="20"/>
      <c r="BF387" s="20"/>
      <c r="BG387" s="20"/>
      <c r="BH387" s="20"/>
      <c r="BI387" s="21"/>
      <c r="BJ387" s="21"/>
    </row>
    <row r="388" spans="1:62" ht="15.75" customHeight="1">
      <c r="A388" s="3"/>
      <c r="B388" s="3"/>
      <c r="C388" s="3"/>
      <c r="D388" s="3"/>
      <c r="E388" s="3"/>
      <c r="F388" s="3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/>
      <c r="AS388" s="20"/>
      <c r="AT388" s="20"/>
      <c r="AU388" s="20"/>
      <c r="AV388" s="20"/>
      <c r="AW388" s="20"/>
      <c r="AX388" s="20"/>
      <c r="AY388" s="20"/>
      <c r="AZ388" s="20"/>
      <c r="BA388" s="20"/>
      <c r="BB388" s="20"/>
      <c r="BC388" s="20"/>
      <c r="BD388" s="20"/>
      <c r="BE388" s="20"/>
      <c r="BF388" s="20"/>
      <c r="BG388" s="20"/>
      <c r="BH388" s="20"/>
      <c r="BI388" s="21"/>
      <c r="BJ388" s="21"/>
    </row>
    <row r="389" spans="1:62" ht="15.75" customHeight="1">
      <c r="A389" s="3"/>
      <c r="B389" s="3"/>
      <c r="C389" s="3"/>
      <c r="D389" s="3"/>
      <c r="E389" s="3"/>
      <c r="F389" s="3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1"/>
      <c r="BJ389" s="21"/>
    </row>
    <row r="390" spans="1:62" ht="15.75" customHeight="1">
      <c r="A390" s="3"/>
      <c r="B390" s="3"/>
      <c r="C390" s="3"/>
      <c r="D390" s="3"/>
      <c r="E390" s="3"/>
      <c r="F390" s="3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/>
      <c r="AS390" s="20"/>
      <c r="AT390" s="20"/>
      <c r="AU390" s="20"/>
      <c r="AV390" s="20"/>
      <c r="AW390" s="20"/>
      <c r="AX390" s="20"/>
      <c r="AY390" s="20"/>
      <c r="AZ390" s="20"/>
      <c r="BA390" s="20"/>
      <c r="BB390" s="20"/>
      <c r="BC390" s="20"/>
      <c r="BD390" s="20"/>
      <c r="BE390" s="20"/>
      <c r="BF390" s="20"/>
      <c r="BG390" s="20"/>
      <c r="BH390" s="20"/>
      <c r="BI390" s="21"/>
      <c r="BJ390" s="21"/>
    </row>
    <row r="391" spans="1:62" ht="15.75" customHeight="1">
      <c r="A391" s="3"/>
      <c r="B391" s="3"/>
      <c r="C391" s="3"/>
      <c r="D391" s="3"/>
      <c r="E391" s="3"/>
      <c r="F391" s="3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/>
      <c r="AS391" s="20"/>
      <c r="AT391" s="20"/>
      <c r="AU391" s="20"/>
      <c r="AV391" s="20"/>
      <c r="AW391" s="20"/>
      <c r="AX391" s="20"/>
      <c r="AY391" s="20"/>
      <c r="AZ391" s="20"/>
      <c r="BA391" s="20"/>
      <c r="BB391" s="20"/>
      <c r="BC391" s="20"/>
      <c r="BD391" s="20"/>
      <c r="BE391" s="20"/>
      <c r="BF391" s="20"/>
      <c r="BG391" s="20"/>
      <c r="BH391" s="20"/>
      <c r="BI391" s="21"/>
      <c r="BJ391" s="21"/>
    </row>
    <row r="392" spans="1:62" ht="15.75" customHeight="1">
      <c r="A392" s="3"/>
      <c r="B392" s="3"/>
      <c r="C392" s="3"/>
      <c r="D392" s="3"/>
      <c r="E392" s="3"/>
      <c r="F392" s="3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/>
      <c r="AS392" s="20"/>
      <c r="AT392" s="20"/>
      <c r="AU392" s="20"/>
      <c r="AV392" s="20"/>
      <c r="AW392" s="20"/>
      <c r="AX392" s="20"/>
      <c r="AY392" s="20"/>
      <c r="AZ392" s="20"/>
      <c r="BA392" s="20"/>
      <c r="BB392" s="20"/>
      <c r="BC392" s="20"/>
      <c r="BD392" s="20"/>
      <c r="BE392" s="20"/>
      <c r="BF392" s="20"/>
      <c r="BG392" s="20"/>
      <c r="BH392" s="20"/>
      <c r="BI392" s="21"/>
      <c r="BJ392" s="21"/>
    </row>
    <row r="393" spans="1:62" ht="15.75" customHeight="1">
      <c r="A393" s="3"/>
      <c r="B393" s="3"/>
      <c r="C393" s="3"/>
      <c r="D393" s="3"/>
      <c r="E393" s="3"/>
      <c r="F393" s="3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/>
      <c r="AS393" s="20"/>
      <c r="AT393" s="20"/>
      <c r="AU393" s="20"/>
      <c r="AV393" s="20"/>
      <c r="AW393" s="20"/>
      <c r="AX393" s="20"/>
      <c r="AY393" s="20"/>
      <c r="AZ393" s="20"/>
      <c r="BA393" s="20"/>
      <c r="BB393" s="20"/>
      <c r="BC393" s="20"/>
      <c r="BD393" s="20"/>
      <c r="BE393" s="20"/>
      <c r="BF393" s="20"/>
      <c r="BG393" s="20"/>
      <c r="BH393" s="20"/>
      <c r="BI393" s="21"/>
      <c r="BJ393" s="21"/>
    </row>
    <row r="394" spans="1:62" ht="15.75" customHeight="1">
      <c r="A394" s="3"/>
      <c r="B394" s="3"/>
      <c r="C394" s="3"/>
      <c r="D394" s="3"/>
      <c r="E394" s="3"/>
      <c r="F394" s="3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/>
      <c r="AS394" s="20"/>
      <c r="AT394" s="20"/>
      <c r="AU394" s="20"/>
      <c r="AV394" s="20"/>
      <c r="AW394" s="20"/>
      <c r="AX394" s="20"/>
      <c r="AY394" s="20"/>
      <c r="AZ394" s="20"/>
      <c r="BA394" s="20"/>
      <c r="BB394" s="20"/>
      <c r="BC394" s="20"/>
      <c r="BD394" s="20"/>
      <c r="BE394" s="20"/>
      <c r="BF394" s="20"/>
      <c r="BG394" s="20"/>
      <c r="BH394" s="20"/>
      <c r="BI394" s="21"/>
      <c r="BJ394" s="21"/>
    </row>
    <row r="395" spans="1:62" ht="15.75" customHeight="1">
      <c r="A395" s="3"/>
      <c r="B395" s="3"/>
      <c r="C395" s="3"/>
      <c r="D395" s="3"/>
      <c r="E395" s="3"/>
      <c r="F395" s="3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/>
      <c r="AS395" s="20"/>
      <c r="AT395" s="20"/>
      <c r="AU395" s="20"/>
      <c r="AV395" s="20"/>
      <c r="AW395" s="20"/>
      <c r="AX395" s="20"/>
      <c r="AY395" s="20"/>
      <c r="AZ395" s="20"/>
      <c r="BA395" s="20"/>
      <c r="BB395" s="20"/>
      <c r="BC395" s="20"/>
      <c r="BD395" s="20"/>
      <c r="BE395" s="20"/>
      <c r="BF395" s="20"/>
      <c r="BG395" s="20"/>
      <c r="BH395" s="20"/>
      <c r="BI395" s="21"/>
      <c r="BJ395" s="21"/>
    </row>
    <row r="396" spans="1:62" ht="15.75" customHeight="1">
      <c r="A396" s="3"/>
      <c r="B396" s="3"/>
      <c r="C396" s="3"/>
      <c r="D396" s="3"/>
      <c r="E396" s="3"/>
      <c r="F396" s="3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/>
      <c r="AS396" s="20"/>
      <c r="AT396" s="20"/>
      <c r="AU396" s="20"/>
      <c r="AV396" s="20"/>
      <c r="AW396" s="20"/>
      <c r="AX396" s="20"/>
      <c r="AY396" s="20"/>
      <c r="AZ396" s="20"/>
      <c r="BA396" s="20"/>
      <c r="BB396" s="20"/>
      <c r="BC396" s="20"/>
      <c r="BD396" s="20"/>
      <c r="BE396" s="20"/>
      <c r="BF396" s="20"/>
      <c r="BG396" s="20"/>
      <c r="BH396" s="20"/>
      <c r="BI396" s="21"/>
      <c r="BJ396" s="21"/>
    </row>
    <row r="397" spans="1:62" ht="15.75" customHeight="1">
      <c r="A397" s="3"/>
      <c r="B397" s="3"/>
      <c r="C397" s="3"/>
      <c r="D397" s="3"/>
      <c r="E397" s="3"/>
      <c r="F397" s="3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/>
      <c r="AS397" s="20"/>
      <c r="AT397" s="20"/>
      <c r="AU397" s="20"/>
      <c r="AV397" s="20"/>
      <c r="AW397" s="20"/>
      <c r="AX397" s="20"/>
      <c r="AY397" s="20"/>
      <c r="AZ397" s="20"/>
      <c r="BA397" s="20"/>
      <c r="BB397" s="20"/>
      <c r="BC397" s="20"/>
      <c r="BD397" s="20"/>
      <c r="BE397" s="20"/>
      <c r="BF397" s="20"/>
      <c r="BG397" s="20"/>
      <c r="BH397" s="20"/>
      <c r="BI397" s="21"/>
      <c r="BJ397" s="21"/>
    </row>
    <row r="398" spans="1:62" ht="15.75" customHeight="1">
      <c r="A398" s="3"/>
      <c r="B398" s="3"/>
      <c r="C398" s="3"/>
      <c r="D398" s="3"/>
      <c r="E398" s="3"/>
      <c r="F398" s="3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/>
      <c r="AS398" s="20"/>
      <c r="AT398" s="20"/>
      <c r="AU398" s="20"/>
      <c r="AV398" s="20"/>
      <c r="AW398" s="20"/>
      <c r="AX398" s="20"/>
      <c r="AY398" s="20"/>
      <c r="AZ398" s="20"/>
      <c r="BA398" s="20"/>
      <c r="BB398" s="20"/>
      <c r="BC398" s="20"/>
      <c r="BD398" s="20"/>
      <c r="BE398" s="20"/>
      <c r="BF398" s="20"/>
      <c r="BG398" s="20"/>
      <c r="BH398" s="20"/>
      <c r="BI398" s="21"/>
      <c r="BJ398" s="21"/>
    </row>
    <row r="399" spans="1:62" ht="15.75" customHeight="1">
      <c r="A399" s="3"/>
      <c r="B399" s="3"/>
      <c r="C399" s="3"/>
      <c r="D399" s="3"/>
      <c r="E399" s="3"/>
      <c r="F399" s="3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/>
      <c r="AS399" s="20"/>
      <c r="AT399" s="20"/>
      <c r="AU399" s="20"/>
      <c r="AV399" s="20"/>
      <c r="AW399" s="20"/>
      <c r="AX399" s="20"/>
      <c r="AY399" s="20"/>
      <c r="AZ399" s="20"/>
      <c r="BA399" s="20"/>
      <c r="BB399" s="20"/>
      <c r="BC399" s="20"/>
      <c r="BD399" s="20"/>
      <c r="BE399" s="20"/>
      <c r="BF399" s="20"/>
      <c r="BG399" s="20"/>
      <c r="BH399" s="20"/>
      <c r="BI399" s="21"/>
      <c r="BJ399" s="21"/>
    </row>
    <row r="400" spans="1:62" ht="15.75" customHeight="1">
      <c r="A400" s="3"/>
      <c r="B400" s="3"/>
      <c r="C400" s="3"/>
      <c r="D400" s="3"/>
      <c r="E400" s="3"/>
      <c r="F400" s="3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/>
      <c r="AS400" s="20"/>
      <c r="AT400" s="20"/>
      <c r="AU400" s="20"/>
      <c r="AV400" s="20"/>
      <c r="AW400" s="20"/>
      <c r="AX400" s="20"/>
      <c r="AY400" s="20"/>
      <c r="AZ400" s="20"/>
      <c r="BA400" s="20"/>
      <c r="BB400" s="20"/>
      <c r="BC400" s="20"/>
      <c r="BD400" s="20"/>
      <c r="BE400" s="20"/>
      <c r="BF400" s="20"/>
      <c r="BG400" s="20"/>
      <c r="BH400" s="20"/>
      <c r="BI400" s="21"/>
      <c r="BJ400" s="21"/>
    </row>
    <row r="401" spans="1:62" ht="15.75" customHeight="1">
      <c r="A401" s="3"/>
      <c r="B401" s="3"/>
      <c r="C401" s="3"/>
      <c r="D401" s="3"/>
      <c r="E401" s="3"/>
      <c r="F401" s="3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/>
      <c r="AS401" s="20"/>
      <c r="AT401" s="20"/>
      <c r="AU401" s="20"/>
      <c r="AV401" s="20"/>
      <c r="AW401" s="20"/>
      <c r="AX401" s="20"/>
      <c r="AY401" s="20"/>
      <c r="AZ401" s="20"/>
      <c r="BA401" s="20"/>
      <c r="BB401" s="20"/>
      <c r="BC401" s="20"/>
      <c r="BD401" s="20"/>
      <c r="BE401" s="20"/>
      <c r="BF401" s="20"/>
      <c r="BG401" s="20"/>
      <c r="BH401" s="20"/>
      <c r="BI401" s="21"/>
      <c r="BJ401" s="21"/>
    </row>
    <row r="402" spans="1:62" ht="15.75" customHeight="1">
      <c r="A402" s="3"/>
      <c r="B402" s="3"/>
      <c r="C402" s="3"/>
      <c r="D402" s="3"/>
      <c r="E402" s="3"/>
      <c r="F402" s="3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/>
      <c r="AS402" s="20"/>
      <c r="AT402" s="20"/>
      <c r="AU402" s="20"/>
      <c r="AV402" s="20"/>
      <c r="AW402" s="20"/>
      <c r="AX402" s="20"/>
      <c r="AY402" s="20"/>
      <c r="AZ402" s="20"/>
      <c r="BA402" s="20"/>
      <c r="BB402" s="20"/>
      <c r="BC402" s="20"/>
      <c r="BD402" s="20"/>
      <c r="BE402" s="20"/>
      <c r="BF402" s="20"/>
      <c r="BG402" s="20"/>
      <c r="BH402" s="20"/>
      <c r="BI402" s="21"/>
      <c r="BJ402" s="21"/>
    </row>
    <row r="403" spans="1:62" ht="15.75" customHeight="1">
      <c r="A403" s="3"/>
      <c r="B403" s="3"/>
      <c r="C403" s="3"/>
      <c r="D403" s="3"/>
      <c r="E403" s="3"/>
      <c r="F403" s="3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/>
      <c r="AS403" s="20"/>
      <c r="AT403" s="20"/>
      <c r="AU403" s="20"/>
      <c r="AV403" s="20"/>
      <c r="AW403" s="20"/>
      <c r="AX403" s="20"/>
      <c r="AY403" s="20"/>
      <c r="AZ403" s="20"/>
      <c r="BA403" s="20"/>
      <c r="BB403" s="20"/>
      <c r="BC403" s="20"/>
      <c r="BD403" s="20"/>
      <c r="BE403" s="20"/>
      <c r="BF403" s="20"/>
      <c r="BG403" s="20"/>
      <c r="BH403" s="20"/>
      <c r="BI403" s="21"/>
      <c r="BJ403" s="21"/>
    </row>
    <row r="404" spans="1:62" ht="15.75" customHeight="1">
      <c r="A404" s="3"/>
      <c r="B404" s="3"/>
      <c r="C404" s="3"/>
      <c r="D404" s="3"/>
      <c r="E404" s="3"/>
      <c r="F404" s="3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/>
      <c r="AS404" s="20"/>
      <c r="AT404" s="20"/>
      <c r="AU404" s="20"/>
      <c r="AV404" s="20"/>
      <c r="AW404" s="20"/>
      <c r="AX404" s="20"/>
      <c r="AY404" s="20"/>
      <c r="AZ404" s="20"/>
      <c r="BA404" s="20"/>
      <c r="BB404" s="20"/>
      <c r="BC404" s="20"/>
      <c r="BD404" s="20"/>
      <c r="BE404" s="20"/>
      <c r="BF404" s="20"/>
      <c r="BG404" s="20"/>
      <c r="BH404" s="20"/>
      <c r="BI404" s="21"/>
      <c r="BJ404" s="21"/>
    </row>
    <row r="405" spans="1:62" ht="15.75" customHeight="1">
      <c r="A405" s="3"/>
      <c r="B405" s="3"/>
      <c r="C405" s="3"/>
      <c r="D405" s="3"/>
      <c r="E405" s="3"/>
      <c r="F405" s="3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/>
      <c r="AS405" s="20"/>
      <c r="AT405" s="20"/>
      <c r="AU405" s="20"/>
      <c r="AV405" s="20"/>
      <c r="AW405" s="20"/>
      <c r="AX405" s="20"/>
      <c r="AY405" s="20"/>
      <c r="AZ405" s="20"/>
      <c r="BA405" s="20"/>
      <c r="BB405" s="20"/>
      <c r="BC405" s="20"/>
      <c r="BD405" s="20"/>
      <c r="BE405" s="20"/>
      <c r="BF405" s="20"/>
      <c r="BG405" s="20"/>
      <c r="BH405" s="20"/>
      <c r="BI405" s="21"/>
      <c r="BJ405" s="21"/>
    </row>
    <row r="406" spans="1:62" ht="15.75" customHeight="1">
      <c r="A406" s="3"/>
      <c r="B406" s="3"/>
      <c r="C406" s="3"/>
      <c r="D406" s="3"/>
      <c r="E406" s="3"/>
      <c r="F406" s="3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/>
      <c r="AS406" s="20"/>
      <c r="AT406" s="20"/>
      <c r="AU406" s="20"/>
      <c r="AV406" s="20"/>
      <c r="AW406" s="20"/>
      <c r="AX406" s="20"/>
      <c r="AY406" s="20"/>
      <c r="AZ406" s="20"/>
      <c r="BA406" s="20"/>
      <c r="BB406" s="20"/>
      <c r="BC406" s="20"/>
      <c r="BD406" s="20"/>
      <c r="BE406" s="20"/>
      <c r="BF406" s="20"/>
      <c r="BG406" s="20"/>
      <c r="BH406" s="20"/>
      <c r="BI406" s="21"/>
      <c r="BJ406" s="21"/>
    </row>
    <row r="407" spans="1:62" ht="15.75" customHeight="1">
      <c r="A407" s="3"/>
      <c r="B407" s="3"/>
      <c r="C407" s="3"/>
      <c r="D407" s="3"/>
      <c r="E407" s="3"/>
      <c r="F407" s="3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/>
      <c r="AS407" s="20"/>
      <c r="AT407" s="20"/>
      <c r="AU407" s="20"/>
      <c r="AV407" s="20"/>
      <c r="AW407" s="20"/>
      <c r="AX407" s="20"/>
      <c r="AY407" s="20"/>
      <c r="AZ407" s="20"/>
      <c r="BA407" s="20"/>
      <c r="BB407" s="20"/>
      <c r="BC407" s="20"/>
      <c r="BD407" s="20"/>
      <c r="BE407" s="20"/>
      <c r="BF407" s="20"/>
      <c r="BG407" s="20"/>
      <c r="BH407" s="20"/>
      <c r="BI407" s="21"/>
      <c r="BJ407" s="21"/>
    </row>
    <row r="408" spans="1:62" ht="15.75" customHeight="1">
      <c r="A408" s="3"/>
      <c r="B408" s="3"/>
      <c r="C408" s="3"/>
      <c r="D408" s="3"/>
      <c r="E408" s="3"/>
      <c r="F408" s="3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/>
      <c r="AS408" s="20"/>
      <c r="AT408" s="20"/>
      <c r="AU408" s="20"/>
      <c r="AV408" s="20"/>
      <c r="AW408" s="20"/>
      <c r="AX408" s="20"/>
      <c r="AY408" s="20"/>
      <c r="AZ408" s="20"/>
      <c r="BA408" s="20"/>
      <c r="BB408" s="20"/>
      <c r="BC408" s="20"/>
      <c r="BD408" s="20"/>
      <c r="BE408" s="20"/>
      <c r="BF408" s="20"/>
      <c r="BG408" s="20"/>
      <c r="BH408" s="20"/>
      <c r="BI408" s="21"/>
      <c r="BJ408" s="21"/>
    </row>
    <row r="409" spans="1:62" ht="15.75" customHeight="1">
      <c r="A409" s="3"/>
      <c r="B409" s="3"/>
      <c r="C409" s="3"/>
      <c r="D409" s="3"/>
      <c r="E409" s="3"/>
      <c r="F409" s="3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/>
      <c r="AS409" s="20"/>
      <c r="AT409" s="20"/>
      <c r="AU409" s="20"/>
      <c r="AV409" s="20"/>
      <c r="AW409" s="20"/>
      <c r="AX409" s="20"/>
      <c r="AY409" s="20"/>
      <c r="AZ409" s="20"/>
      <c r="BA409" s="20"/>
      <c r="BB409" s="20"/>
      <c r="BC409" s="20"/>
      <c r="BD409" s="20"/>
      <c r="BE409" s="20"/>
      <c r="BF409" s="20"/>
      <c r="BG409" s="20"/>
      <c r="BH409" s="20"/>
      <c r="BI409" s="21"/>
      <c r="BJ409" s="21"/>
    </row>
    <row r="410" spans="1:62" ht="15.75" customHeight="1">
      <c r="A410" s="3"/>
      <c r="B410" s="3"/>
      <c r="C410" s="3"/>
      <c r="D410" s="3"/>
      <c r="E410" s="3"/>
      <c r="F410" s="3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/>
      <c r="AS410" s="20"/>
      <c r="AT410" s="20"/>
      <c r="AU410" s="20"/>
      <c r="AV410" s="20"/>
      <c r="AW410" s="20"/>
      <c r="AX410" s="20"/>
      <c r="AY410" s="20"/>
      <c r="AZ410" s="20"/>
      <c r="BA410" s="20"/>
      <c r="BB410" s="20"/>
      <c r="BC410" s="20"/>
      <c r="BD410" s="20"/>
      <c r="BE410" s="20"/>
      <c r="BF410" s="20"/>
      <c r="BG410" s="20"/>
      <c r="BH410" s="20"/>
      <c r="BI410" s="21"/>
      <c r="BJ410" s="21"/>
    </row>
    <row r="411" spans="1:62" ht="15.75" customHeight="1">
      <c r="A411" s="3"/>
      <c r="B411" s="3"/>
      <c r="C411" s="3"/>
      <c r="D411" s="3"/>
      <c r="E411" s="3"/>
      <c r="F411" s="3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/>
      <c r="AS411" s="20"/>
      <c r="AT411" s="20"/>
      <c r="AU411" s="20"/>
      <c r="AV411" s="20"/>
      <c r="AW411" s="20"/>
      <c r="AX411" s="20"/>
      <c r="AY411" s="20"/>
      <c r="AZ411" s="20"/>
      <c r="BA411" s="20"/>
      <c r="BB411" s="20"/>
      <c r="BC411" s="20"/>
      <c r="BD411" s="20"/>
      <c r="BE411" s="20"/>
      <c r="BF411" s="20"/>
      <c r="BG411" s="20"/>
      <c r="BH411" s="20"/>
      <c r="BI411" s="21"/>
      <c r="BJ411" s="21"/>
    </row>
    <row r="412" spans="1:62" ht="15.75" customHeight="1">
      <c r="A412" s="3"/>
      <c r="B412" s="3"/>
      <c r="C412" s="3"/>
      <c r="D412" s="3"/>
      <c r="E412" s="3"/>
      <c r="F412" s="3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  <c r="AP412" s="20"/>
      <c r="AQ412" s="20"/>
      <c r="AR412" s="20"/>
      <c r="AS412" s="20"/>
      <c r="AT412" s="20"/>
      <c r="AU412" s="20"/>
      <c r="AV412" s="20"/>
      <c r="AW412" s="20"/>
      <c r="AX412" s="20"/>
      <c r="AY412" s="20"/>
      <c r="AZ412" s="20"/>
      <c r="BA412" s="20"/>
      <c r="BB412" s="20"/>
      <c r="BC412" s="20"/>
      <c r="BD412" s="20"/>
      <c r="BE412" s="20"/>
      <c r="BF412" s="20"/>
      <c r="BG412" s="20"/>
      <c r="BH412" s="20"/>
      <c r="BI412" s="21"/>
      <c r="BJ412" s="21"/>
    </row>
    <row r="413" spans="1:62" ht="15.75" customHeight="1">
      <c r="A413" s="3"/>
      <c r="B413" s="3"/>
      <c r="C413" s="3"/>
      <c r="D413" s="3"/>
      <c r="E413" s="3"/>
      <c r="F413" s="3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  <c r="AP413" s="20"/>
      <c r="AQ413" s="20"/>
      <c r="AR413" s="20"/>
      <c r="AS413" s="20"/>
      <c r="AT413" s="20"/>
      <c r="AU413" s="20"/>
      <c r="AV413" s="20"/>
      <c r="AW413" s="20"/>
      <c r="AX413" s="20"/>
      <c r="AY413" s="20"/>
      <c r="AZ413" s="20"/>
      <c r="BA413" s="20"/>
      <c r="BB413" s="20"/>
      <c r="BC413" s="20"/>
      <c r="BD413" s="20"/>
      <c r="BE413" s="20"/>
      <c r="BF413" s="20"/>
      <c r="BG413" s="20"/>
      <c r="BH413" s="20"/>
      <c r="BI413" s="21"/>
      <c r="BJ413" s="21"/>
    </row>
    <row r="414" spans="1:62" ht="15.75" customHeight="1">
      <c r="A414" s="3"/>
      <c r="B414" s="3"/>
      <c r="C414" s="3"/>
      <c r="D414" s="3"/>
      <c r="E414" s="3"/>
      <c r="F414" s="3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  <c r="AP414" s="20"/>
      <c r="AQ414" s="20"/>
      <c r="AR414" s="20"/>
      <c r="AS414" s="20"/>
      <c r="AT414" s="20"/>
      <c r="AU414" s="20"/>
      <c r="AV414" s="20"/>
      <c r="AW414" s="20"/>
      <c r="AX414" s="20"/>
      <c r="AY414" s="20"/>
      <c r="AZ414" s="20"/>
      <c r="BA414" s="20"/>
      <c r="BB414" s="20"/>
      <c r="BC414" s="20"/>
      <c r="BD414" s="20"/>
      <c r="BE414" s="20"/>
      <c r="BF414" s="20"/>
      <c r="BG414" s="20"/>
      <c r="BH414" s="20"/>
      <c r="BI414" s="21"/>
      <c r="BJ414" s="21"/>
    </row>
    <row r="415" spans="1:62" ht="15.75" customHeight="1">
      <c r="A415" s="3"/>
      <c r="B415" s="3"/>
      <c r="C415" s="3"/>
      <c r="D415" s="3"/>
      <c r="E415" s="3"/>
      <c r="F415" s="3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  <c r="AP415" s="20"/>
      <c r="AQ415" s="20"/>
      <c r="AR415" s="20"/>
      <c r="AS415" s="20"/>
      <c r="AT415" s="20"/>
      <c r="AU415" s="20"/>
      <c r="AV415" s="20"/>
      <c r="AW415" s="20"/>
      <c r="AX415" s="20"/>
      <c r="AY415" s="20"/>
      <c r="AZ415" s="20"/>
      <c r="BA415" s="20"/>
      <c r="BB415" s="20"/>
      <c r="BC415" s="20"/>
      <c r="BD415" s="20"/>
      <c r="BE415" s="20"/>
      <c r="BF415" s="20"/>
      <c r="BG415" s="20"/>
      <c r="BH415" s="20"/>
      <c r="BI415" s="21"/>
      <c r="BJ415" s="21"/>
    </row>
    <row r="416" spans="1:62" ht="15.75" customHeight="1">
      <c r="A416" s="3"/>
      <c r="B416" s="3"/>
      <c r="C416" s="3"/>
      <c r="D416" s="3"/>
      <c r="E416" s="3"/>
      <c r="F416" s="3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  <c r="AP416" s="20"/>
      <c r="AQ416" s="20"/>
      <c r="AR416" s="20"/>
      <c r="AS416" s="20"/>
      <c r="AT416" s="20"/>
      <c r="AU416" s="20"/>
      <c r="AV416" s="20"/>
      <c r="AW416" s="20"/>
      <c r="AX416" s="20"/>
      <c r="AY416" s="20"/>
      <c r="AZ416" s="20"/>
      <c r="BA416" s="20"/>
      <c r="BB416" s="20"/>
      <c r="BC416" s="20"/>
      <c r="BD416" s="20"/>
      <c r="BE416" s="20"/>
      <c r="BF416" s="20"/>
      <c r="BG416" s="20"/>
      <c r="BH416" s="20"/>
      <c r="BI416" s="21"/>
      <c r="BJ416" s="21"/>
    </row>
    <row r="417" spans="1:62" ht="15.75" customHeight="1">
      <c r="A417" s="3"/>
      <c r="B417" s="3"/>
      <c r="C417" s="3"/>
      <c r="D417" s="3"/>
      <c r="E417" s="3"/>
      <c r="F417" s="3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  <c r="AP417" s="20"/>
      <c r="AQ417" s="20"/>
      <c r="AR417" s="20"/>
      <c r="AS417" s="20"/>
      <c r="AT417" s="20"/>
      <c r="AU417" s="20"/>
      <c r="AV417" s="20"/>
      <c r="AW417" s="20"/>
      <c r="AX417" s="20"/>
      <c r="AY417" s="20"/>
      <c r="AZ417" s="20"/>
      <c r="BA417" s="20"/>
      <c r="BB417" s="20"/>
      <c r="BC417" s="20"/>
      <c r="BD417" s="20"/>
      <c r="BE417" s="20"/>
      <c r="BF417" s="20"/>
      <c r="BG417" s="20"/>
      <c r="BH417" s="20"/>
      <c r="BI417" s="21"/>
      <c r="BJ417" s="21"/>
    </row>
    <row r="418" spans="1:62" ht="15.75" customHeight="1">
      <c r="A418" s="3"/>
      <c r="B418" s="3"/>
      <c r="C418" s="3"/>
      <c r="D418" s="3"/>
      <c r="E418" s="3"/>
      <c r="F418" s="3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  <c r="AP418" s="20"/>
      <c r="AQ418" s="20"/>
      <c r="AR418" s="20"/>
      <c r="AS418" s="20"/>
      <c r="AT418" s="20"/>
      <c r="AU418" s="20"/>
      <c r="AV418" s="20"/>
      <c r="AW418" s="20"/>
      <c r="AX418" s="20"/>
      <c r="AY418" s="20"/>
      <c r="AZ418" s="20"/>
      <c r="BA418" s="20"/>
      <c r="BB418" s="20"/>
      <c r="BC418" s="20"/>
      <c r="BD418" s="20"/>
      <c r="BE418" s="20"/>
      <c r="BF418" s="20"/>
      <c r="BG418" s="20"/>
      <c r="BH418" s="20"/>
      <c r="BI418" s="21"/>
      <c r="BJ418" s="21"/>
    </row>
    <row r="419" spans="1:62" ht="15.75" customHeight="1">
      <c r="A419" s="3"/>
      <c r="B419" s="3"/>
      <c r="C419" s="3"/>
      <c r="D419" s="3"/>
      <c r="E419" s="3"/>
      <c r="F419" s="3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  <c r="AP419" s="20"/>
      <c r="AQ419" s="20"/>
      <c r="AR419" s="20"/>
      <c r="AS419" s="20"/>
      <c r="AT419" s="20"/>
      <c r="AU419" s="20"/>
      <c r="AV419" s="20"/>
      <c r="AW419" s="20"/>
      <c r="AX419" s="20"/>
      <c r="AY419" s="20"/>
      <c r="AZ419" s="20"/>
      <c r="BA419" s="20"/>
      <c r="BB419" s="20"/>
      <c r="BC419" s="20"/>
      <c r="BD419" s="20"/>
      <c r="BE419" s="20"/>
      <c r="BF419" s="20"/>
      <c r="BG419" s="20"/>
      <c r="BH419" s="20"/>
      <c r="BI419" s="21"/>
      <c r="BJ419" s="21"/>
    </row>
    <row r="420" spans="1:62" ht="15.75" customHeight="1">
      <c r="A420" s="3"/>
      <c r="B420" s="3"/>
      <c r="C420" s="3"/>
      <c r="D420" s="3"/>
      <c r="E420" s="3"/>
      <c r="F420" s="3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  <c r="AP420" s="20"/>
      <c r="AQ420" s="20"/>
      <c r="AR420" s="20"/>
      <c r="AS420" s="20"/>
      <c r="AT420" s="20"/>
      <c r="AU420" s="20"/>
      <c r="AV420" s="20"/>
      <c r="AW420" s="20"/>
      <c r="AX420" s="20"/>
      <c r="AY420" s="20"/>
      <c r="AZ420" s="20"/>
      <c r="BA420" s="20"/>
      <c r="BB420" s="20"/>
      <c r="BC420" s="20"/>
      <c r="BD420" s="20"/>
      <c r="BE420" s="20"/>
      <c r="BF420" s="20"/>
      <c r="BG420" s="20"/>
      <c r="BH420" s="20"/>
      <c r="BI420" s="21"/>
      <c r="BJ420" s="21"/>
    </row>
    <row r="421" spans="1:62" ht="15.75" customHeight="1">
      <c r="A421" s="3"/>
      <c r="B421" s="3"/>
      <c r="C421" s="3"/>
      <c r="D421" s="3"/>
      <c r="E421" s="3"/>
      <c r="F421" s="3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  <c r="AP421" s="20"/>
      <c r="AQ421" s="20"/>
      <c r="AR421" s="20"/>
      <c r="AS421" s="20"/>
      <c r="AT421" s="20"/>
      <c r="AU421" s="20"/>
      <c r="AV421" s="20"/>
      <c r="AW421" s="20"/>
      <c r="AX421" s="20"/>
      <c r="AY421" s="20"/>
      <c r="AZ421" s="20"/>
      <c r="BA421" s="20"/>
      <c r="BB421" s="20"/>
      <c r="BC421" s="20"/>
      <c r="BD421" s="20"/>
      <c r="BE421" s="20"/>
      <c r="BF421" s="20"/>
      <c r="BG421" s="20"/>
      <c r="BH421" s="20"/>
      <c r="BI421" s="21"/>
      <c r="BJ421" s="21"/>
    </row>
    <row r="422" spans="1:62" ht="15.75" customHeight="1">
      <c r="A422" s="3"/>
      <c r="B422" s="3"/>
      <c r="C422" s="3"/>
      <c r="D422" s="3"/>
      <c r="E422" s="3"/>
      <c r="F422" s="3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  <c r="AP422" s="20"/>
      <c r="AQ422" s="20"/>
      <c r="AR422" s="20"/>
      <c r="AS422" s="20"/>
      <c r="AT422" s="20"/>
      <c r="AU422" s="20"/>
      <c r="AV422" s="20"/>
      <c r="AW422" s="20"/>
      <c r="AX422" s="20"/>
      <c r="AY422" s="20"/>
      <c r="AZ422" s="20"/>
      <c r="BA422" s="20"/>
      <c r="BB422" s="20"/>
      <c r="BC422" s="20"/>
      <c r="BD422" s="20"/>
      <c r="BE422" s="20"/>
      <c r="BF422" s="20"/>
      <c r="BG422" s="20"/>
      <c r="BH422" s="20"/>
      <c r="BI422" s="21"/>
      <c r="BJ422" s="21"/>
    </row>
    <row r="423" spans="1:62" ht="15.75" customHeight="1">
      <c r="A423" s="3"/>
      <c r="B423" s="3"/>
      <c r="C423" s="3"/>
      <c r="D423" s="3"/>
      <c r="E423" s="3"/>
      <c r="F423" s="3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  <c r="AP423" s="20"/>
      <c r="AQ423" s="20"/>
      <c r="AR423" s="20"/>
      <c r="AS423" s="20"/>
      <c r="AT423" s="20"/>
      <c r="AU423" s="20"/>
      <c r="AV423" s="20"/>
      <c r="AW423" s="20"/>
      <c r="AX423" s="20"/>
      <c r="AY423" s="20"/>
      <c r="AZ423" s="20"/>
      <c r="BA423" s="20"/>
      <c r="BB423" s="20"/>
      <c r="BC423" s="20"/>
      <c r="BD423" s="20"/>
      <c r="BE423" s="20"/>
      <c r="BF423" s="20"/>
      <c r="BG423" s="20"/>
      <c r="BH423" s="20"/>
      <c r="BI423" s="21"/>
      <c r="BJ423" s="21"/>
    </row>
    <row r="424" spans="1:62" ht="15.75" customHeight="1">
      <c r="A424" s="3"/>
      <c r="B424" s="3"/>
      <c r="C424" s="3"/>
      <c r="D424" s="3"/>
      <c r="E424" s="3"/>
      <c r="F424" s="3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  <c r="AP424" s="20"/>
      <c r="AQ424" s="20"/>
      <c r="AR424" s="20"/>
      <c r="AS424" s="20"/>
      <c r="AT424" s="20"/>
      <c r="AU424" s="20"/>
      <c r="AV424" s="20"/>
      <c r="AW424" s="20"/>
      <c r="AX424" s="20"/>
      <c r="AY424" s="20"/>
      <c r="AZ424" s="20"/>
      <c r="BA424" s="20"/>
      <c r="BB424" s="20"/>
      <c r="BC424" s="20"/>
      <c r="BD424" s="20"/>
      <c r="BE424" s="20"/>
      <c r="BF424" s="20"/>
      <c r="BG424" s="20"/>
      <c r="BH424" s="20"/>
      <c r="BI424" s="21"/>
      <c r="BJ424" s="21"/>
    </row>
    <row r="425" spans="1:62" ht="15.75" customHeight="1">
      <c r="A425" s="3"/>
      <c r="B425" s="3"/>
      <c r="C425" s="3"/>
      <c r="D425" s="3"/>
      <c r="E425" s="3"/>
      <c r="F425" s="3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  <c r="AP425" s="20"/>
      <c r="AQ425" s="20"/>
      <c r="AR425" s="20"/>
      <c r="AS425" s="20"/>
      <c r="AT425" s="20"/>
      <c r="AU425" s="20"/>
      <c r="AV425" s="20"/>
      <c r="AW425" s="20"/>
      <c r="AX425" s="20"/>
      <c r="AY425" s="20"/>
      <c r="AZ425" s="20"/>
      <c r="BA425" s="20"/>
      <c r="BB425" s="20"/>
      <c r="BC425" s="20"/>
      <c r="BD425" s="20"/>
      <c r="BE425" s="20"/>
      <c r="BF425" s="20"/>
      <c r="BG425" s="20"/>
      <c r="BH425" s="20"/>
      <c r="BI425" s="21"/>
      <c r="BJ425" s="21"/>
    </row>
    <row r="426" spans="1:62" ht="15.75" customHeight="1">
      <c r="A426" s="3"/>
      <c r="B426" s="3"/>
      <c r="C426" s="3"/>
      <c r="D426" s="3"/>
      <c r="E426" s="3"/>
      <c r="F426" s="3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  <c r="AP426" s="20"/>
      <c r="AQ426" s="20"/>
      <c r="AR426" s="20"/>
      <c r="AS426" s="20"/>
      <c r="AT426" s="20"/>
      <c r="AU426" s="20"/>
      <c r="AV426" s="20"/>
      <c r="AW426" s="20"/>
      <c r="AX426" s="20"/>
      <c r="AY426" s="20"/>
      <c r="AZ426" s="20"/>
      <c r="BA426" s="20"/>
      <c r="BB426" s="20"/>
      <c r="BC426" s="20"/>
      <c r="BD426" s="20"/>
      <c r="BE426" s="20"/>
      <c r="BF426" s="20"/>
      <c r="BG426" s="20"/>
      <c r="BH426" s="20"/>
      <c r="BI426" s="21"/>
      <c r="BJ426" s="21"/>
    </row>
    <row r="427" spans="1:62" ht="15.75" customHeight="1">
      <c r="A427" s="3"/>
      <c r="B427" s="3"/>
      <c r="C427" s="3"/>
      <c r="D427" s="3"/>
      <c r="E427" s="3"/>
      <c r="F427" s="3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  <c r="AP427" s="20"/>
      <c r="AQ427" s="20"/>
      <c r="AR427" s="20"/>
      <c r="AS427" s="20"/>
      <c r="AT427" s="20"/>
      <c r="AU427" s="20"/>
      <c r="AV427" s="20"/>
      <c r="AW427" s="20"/>
      <c r="AX427" s="20"/>
      <c r="AY427" s="20"/>
      <c r="AZ427" s="20"/>
      <c r="BA427" s="20"/>
      <c r="BB427" s="20"/>
      <c r="BC427" s="20"/>
      <c r="BD427" s="20"/>
      <c r="BE427" s="20"/>
      <c r="BF427" s="20"/>
      <c r="BG427" s="20"/>
      <c r="BH427" s="20"/>
      <c r="BI427" s="21"/>
      <c r="BJ427" s="21"/>
    </row>
    <row r="428" spans="1:62" ht="15.75" customHeight="1">
      <c r="A428" s="3"/>
      <c r="B428" s="3"/>
      <c r="C428" s="3"/>
      <c r="D428" s="3"/>
      <c r="E428" s="3"/>
      <c r="F428" s="3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  <c r="AP428" s="20"/>
      <c r="AQ428" s="20"/>
      <c r="AR428" s="20"/>
      <c r="AS428" s="20"/>
      <c r="AT428" s="20"/>
      <c r="AU428" s="20"/>
      <c r="AV428" s="20"/>
      <c r="AW428" s="20"/>
      <c r="AX428" s="20"/>
      <c r="AY428" s="20"/>
      <c r="AZ428" s="20"/>
      <c r="BA428" s="20"/>
      <c r="BB428" s="20"/>
      <c r="BC428" s="20"/>
      <c r="BD428" s="20"/>
      <c r="BE428" s="20"/>
      <c r="BF428" s="20"/>
      <c r="BG428" s="20"/>
      <c r="BH428" s="20"/>
      <c r="BI428" s="21"/>
      <c r="BJ428" s="21"/>
    </row>
    <row r="429" spans="1:62" ht="15.75" customHeight="1">
      <c r="A429" s="3"/>
      <c r="B429" s="3"/>
      <c r="C429" s="3"/>
      <c r="D429" s="3"/>
      <c r="E429" s="3"/>
      <c r="F429" s="3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  <c r="AP429" s="20"/>
      <c r="AQ429" s="20"/>
      <c r="AR429" s="20"/>
      <c r="AS429" s="20"/>
      <c r="AT429" s="20"/>
      <c r="AU429" s="20"/>
      <c r="AV429" s="20"/>
      <c r="AW429" s="20"/>
      <c r="AX429" s="20"/>
      <c r="AY429" s="20"/>
      <c r="AZ429" s="20"/>
      <c r="BA429" s="20"/>
      <c r="BB429" s="20"/>
      <c r="BC429" s="20"/>
      <c r="BD429" s="20"/>
      <c r="BE429" s="20"/>
      <c r="BF429" s="20"/>
      <c r="BG429" s="20"/>
      <c r="BH429" s="20"/>
      <c r="BI429" s="21"/>
      <c r="BJ429" s="21"/>
    </row>
    <row r="430" spans="1:62" ht="15.75" customHeight="1">
      <c r="A430" s="3"/>
      <c r="B430" s="3"/>
      <c r="C430" s="3"/>
      <c r="D430" s="3"/>
      <c r="E430" s="3"/>
      <c r="F430" s="3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  <c r="AP430" s="20"/>
      <c r="AQ430" s="20"/>
      <c r="AR430" s="20"/>
      <c r="AS430" s="20"/>
      <c r="AT430" s="20"/>
      <c r="AU430" s="20"/>
      <c r="AV430" s="20"/>
      <c r="AW430" s="20"/>
      <c r="AX430" s="20"/>
      <c r="AY430" s="20"/>
      <c r="AZ430" s="20"/>
      <c r="BA430" s="20"/>
      <c r="BB430" s="20"/>
      <c r="BC430" s="20"/>
      <c r="BD430" s="20"/>
      <c r="BE430" s="20"/>
      <c r="BF430" s="20"/>
      <c r="BG430" s="20"/>
      <c r="BH430" s="20"/>
      <c r="BI430" s="21"/>
      <c r="BJ430" s="21"/>
    </row>
    <row r="431" spans="1:62" ht="15.75" customHeight="1">
      <c r="A431" s="3"/>
      <c r="B431" s="3"/>
      <c r="C431" s="3"/>
      <c r="D431" s="3"/>
      <c r="E431" s="3"/>
      <c r="F431" s="3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  <c r="AP431" s="20"/>
      <c r="AQ431" s="20"/>
      <c r="AR431" s="20"/>
      <c r="AS431" s="20"/>
      <c r="AT431" s="20"/>
      <c r="AU431" s="20"/>
      <c r="AV431" s="20"/>
      <c r="AW431" s="20"/>
      <c r="AX431" s="20"/>
      <c r="AY431" s="20"/>
      <c r="AZ431" s="20"/>
      <c r="BA431" s="20"/>
      <c r="BB431" s="20"/>
      <c r="BC431" s="20"/>
      <c r="BD431" s="20"/>
      <c r="BE431" s="20"/>
      <c r="BF431" s="20"/>
      <c r="BG431" s="20"/>
      <c r="BH431" s="20"/>
      <c r="BI431" s="21"/>
      <c r="BJ431" s="21"/>
    </row>
    <row r="432" spans="1:62" ht="15.75" customHeight="1">
      <c r="A432" s="3"/>
      <c r="B432" s="3"/>
      <c r="C432" s="3"/>
      <c r="D432" s="3"/>
      <c r="E432" s="3"/>
      <c r="F432" s="3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  <c r="AP432" s="20"/>
      <c r="AQ432" s="20"/>
      <c r="AR432" s="20"/>
      <c r="AS432" s="20"/>
      <c r="AT432" s="20"/>
      <c r="AU432" s="20"/>
      <c r="AV432" s="20"/>
      <c r="AW432" s="20"/>
      <c r="AX432" s="20"/>
      <c r="AY432" s="20"/>
      <c r="AZ432" s="20"/>
      <c r="BA432" s="20"/>
      <c r="BB432" s="20"/>
      <c r="BC432" s="20"/>
      <c r="BD432" s="20"/>
      <c r="BE432" s="20"/>
      <c r="BF432" s="20"/>
      <c r="BG432" s="20"/>
      <c r="BH432" s="20"/>
      <c r="BI432" s="21"/>
      <c r="BJ432" s="21"/>
    </row>
    <row r="433" spans="1:62" ht="15.75" customHeight="1">
      <c r="A433" s="3"/>
      <c r="B433" s="3"/>
      <c r="C433" s="3"/>
      <c r="D433" s="3"/>
      <c r="E433" s="3"/>
      <c r="F433" s="3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  <c r="AP433" s="20"/>
      <c r="AQ433" s="20"/>
      <c r="AR433" s="20"/>
      <c r="AS433" s="20"/>
      <c r="AT433" s="20"/>
      <c r="AU433" s="20"/>
      <c r="AV433" s="20"/>
      <c r="AW433" s="20"/>
      <c r="AX433" s="20"/>
      <c r="AY433" s="20"/>
      <c r="AZ433" s="20"/>
      <c r="BA433" s="20"/>
      <c r="BB433" s="20"/>
      <c r="BC433" s="20"/>
      <c r="BD433" s="20"/>
      <c r="BE433" s="20"/>
      <c r="BF433" s="20"/>
      <c r="BG433" s="20"/>
      <c r="BH433" s="20"/>
      <c r="BI433" s="21"/>
      <c r="BJ433" s="21"/>
    </row>
    <row r="434" spans="1:62" ht="15.75" customHeight="1">
      <c r="A434" s="3"/>
      <c r="B434" s="3"/>
      <c r="C434" s="3"/>
      <c r="D434" s="3"/>
      <c r="E434" s="3"/>
      <c r="F434" s="3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  <c r="AP434" s="20"/>
      <c r="AQ434" s="20"/>
      <c r="AR434" s="20"/>
      <c r="AS434" s="20"/>
      <c r="AT434" s="20"/>
      <c r="AU434" s="20"/>
      <c r="AV434" s="20"/>
      <c r="AW434" s="20"/>
      <c r="AX434" s="20"/>
      <c r="AY434" s="20"/>
      <c r="AZ434" s="20"/>
      <c r="BA434" s="20"/>
      <c r="BB434" s="20"/>
      <c r="BC434" s="20"/>
      <c r="BD434" s="20"/>
      <c r="BE434" s="20"/>
      <c r="BF434" s="20"/>
      <c r="BG434" s="20"/>
      <c r="BH434" s="20"/>
      <c r="BI434" s="21"/>
      <c r="BJ434" s="21"/>
    </row>
    <row r="435" spans="1:62" ht="15.75" customHeight="1">
      <c r="A435" s="3"/>
      <c r="B435" s="3"/>
      <c r="C435" s="3"/>
      <c r="D435" s="3"/>
      <c r="E435" s="3"/>
      <c r="F435" s="3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  <c r="AP435" s="20"/>
      <c r="AQ435" s="20"/>
      <c r="AR435" s="20"/>
      <c r="AS435" s="20"/>
      <c r="AT435" s="20"/>
      <c r="AU435" s="20"/>
      <c r="AV435" s="20"/>
      <c r="AW435" s="20"/>
      <c r="AX435" s="20"/>
      <c r="AY435" s="20"/>
      <c r="AZ435" s="20"/>
      <c r="BA435" s="20"/>
      <c r="BB435" s="20"/>
      <c r="BC435" s="20"/>
      <c r="BD435" s="20"/>
      <c r="BE435" s="20"/>
      <c r="BF435" s="20"/>
      <c r="BG435" s="20"/>
      <c r="BH435" s="20"/>
      <c r="BI435" s="21"/>
      <c r="BJ435" s="21"/>
    </row>
    <row r="436" spans="1:62" ht="15.75" customHeight="1">
      <c r="A436" s="3"/>
      <c r="B436" s="3"/>
      <c r="C436" s="3"/>
      <c r="D436" s="3"/>
      <c r="E436" s="3"/>
      <c r="F436" s="3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  <c r="AP436" s="20"/>
      <c r="AQ436" s="20"/>
      <c r="AR436" s="20"/>
      <c r="AS436" s="20"/>
      <c r="AT436" s="20"/>
      <c r="AU436" s="20"/>
      <c r="AV436" s="20"/>
      <c r="AW436" s="20"/>
      <c r="AX436" s="20"/>
      <c r="AY436" s="20"/>
      <c r="AZ436" s="20"/>
      <c r="BA436" s="20"/>
      <c r="BB436" s="20"/>
      <c r="BC436" s="20"/>
      <c r="BD436" s="20"/>
      <c r="BE436" s="20"/>
      <c r="BF436" s="20"/>
      <c r="BG436" s="20"/>
      <c r="BH436" s="20"/>
      <c r="BI436" s="21"/>
      <c r="BJ436" s="21"/>
    </row>
    <row r="437" spans="1:62" ht="15.75" customHeight="1">
      <c r="A437" s="3"/>
      <c r="B437" s="3"/>
      <c r="C437" s="3"/>
      <c r="D437" s="3"/>
      <c r="E437" s="3"/>
      <c r="F437" s="3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  <c r="AP437" s="20"/>
      <c r="AQ437" s="20"/>
      <c r="AR437" s="20"/>
      <c r="AS437" s="20"/>
      <c r="AT437" s="20"/>
      <c r="AU437" s="20"/>
      <c r="AV437" s="20"/>
      <c r="AW437" s="20"/>
      <c r="AX437" s="20"/>
      <c r="AY437" s="20"/>
      <c r="AZ437" s="20"/>
      <c r="BA437" s="20"/>
      <c r="BB437" s="20"/>
      <c r="BC437" s="20"/>
      <c r="BD437" s="20"/>
      <c r="BE437" s="20"/>
      <c r="BF437" s="20"/>
      <c r="BG437" s="20"/>
      <c r="BH437" s="20"/>
      <c r="BI437" s="21"/>
      <c r="BJ437" s="21"/>
    </row>
    <row r="438" spans="1:62" ht="15.75" customHeight="1">
      <c r="A438" s="3"/>
      <c r="B438" s="3"/>
      <c r="C438" s="3"/>
      <c r="D438" s="3"/>
      <c r="E438" s="3"/>
      <c r="F438" s="3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  <c r="AP438" s="20"/>
      <c r="AQ438" s="20"/>
      <c r="AR438" s="20"/>
      <c r="AS438" s="20"/>
      <c r="AT438" s="20"/>
      <c r="AU438" s="20"/>
      <c r="AV438" s="20"/>
      <c r="AW438" s="20"/>
      <c r="AX438" s="20"/>
      <c r="AY438" s="20"/>
      <c r="AZ438" s="20"/>
      <c r="BA438" s="20"/>
      <c r="BB438" s="20"/>
      <c r="BC438" s="20"/>
      <c r="BD438" s="20"/>
      <c r="BE438" s="20"/>
      <c r="BF438" s="20"/>
      <c r="BG438" s="20"/>
      <c r="BH438" s="20"/>
      <c r="BI438" s="21"/>
      <c r="BJ438" s="21"/>
    </row>
    <row r="439" spans="1:62" ht="15.75" customHeight="1">
      <c r="A439" s="3"/>
      <c r="B439" s="3"/>
      <c r="C439" s="3"/>
      <c r="D439" s="3"/>
      <c r="E439" s="3"/>
      <c r="F439" s="3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/>
      <c r="AS439" s="20"/>
      <c r="AT439" s="20"/>
      <c r="AU439" s="20"/>
      <c r="AV439" s="20"/>
      <c r="AW439" s="20"/>
      <c r="AX439" s="20"/>
      <c r="AY439" s="20"/>
      <c r="AZ439" s="20"/>
      <c r="BA439" s="20"/>
      <c r="BB439" s="20"/>
      <c r="BC439" s="20"/>
      <c r="BD439" s="20"/>
      <c r="BE439" s="20"/>
      <c r="BF439" s="20"/>
      <c r="BG439" s="20"/>
      <c r="BH439" s="20"/>
      <c r="BI439" s="21"/>
      <c r="BJ439" s="21"/>
    </row>
    <row r="440" spans="1:62" ht="15.75" customHeight="1">
      <c r="A440" s="3"/>
      <c r="B440" s="3"/>
      <c r="C440" s="3"/>
      <c r="D440" s="3"/>
      <c r="E440" s="3"/>
      <c r="F440" s="3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/>
      <c r="AS440" s="20"/>
      <c r="AT440" s="20"/>
      <c r="AU440" s="20"/>
      <c r="AV440" s="20"/>
      <c r="AW440" s="20"/>
      <c r="AX440" s="20"/>
      <c r="AY440" s="20"/>
      <c r="AZ440" s="20"/>
      <c r="BA440" s="20"/>
      <c r="BB440" s="20"/>
      <c r="BC440" s="20"/>
      <c r="BD440" s="20"/>
      <c r="BE440" s="20"/>
      <c r="BF440" s="20"/>
      <c r="BG440" s="20"/>
      <c r="BH440" s="20"/>
      <c r="BI440" s="21"/>
      <c r="BJ440" s="21"/>
    </row>
    <row r="441" spans="1:62" ht="15.75" customHeight="1">
      <c r="A441" s="3"/>
      <c r="B441" s="3"/>
      <c r="C441" s="3"/>
      <c r="D441" s="3"/>
      <c r="E441" s="3"/>
      <c r="F441" s="3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/>
      <c r="AS441" s="20"/>
      <c r="AT441" s="20"/>
      <c r="AU441" s="20"/>
      <c r="AV441" s="20"/>
      <c r="AW441" s="20"/>
      <c r="AX441" s="20"/>
      <c r="AY441" s="20"/>
      <c r="AZ441" s="20"/>
      <c r="BA441" s="20"/>
      <c r="BB441" s="20"/>
      <c r="BC441" s="20"/>
      <c r="BD441" s="20"/>
      <c r="BE441" s="20"/>
      <c r="BF441" s="20"/>
      <c r="BG441" s="20"/>
      <c r="BH441" s="20"/>
      <c r="BI441" s="21"/>
      <c r="BJ441" s="21"/>
    </row>
    <row r="442" spans="1:62" ht="15.75" customHeight="1">
      <c r="A442" s="3"/>
      <c r="B442" s="3"/>
      <c r="C442" s="3"/>
      <c r="D442" s="3"/>
      <c r="E442" s="3"/>
      <c r="F442" s="3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/>
      <c r="AS442" s="20"/>
      <c r="AT442" s="20"/>
      <c r="AU442" s="20"/>
      <c r="AV442" s="20"/>
      <c r="AW442" s="20"/>
      <c r="AX442" s="20"/>
      <c r="AY442" s="20"/>
      <c r="AZ442" s="20"/>
      <c r="BA442" s="20"/>
      <c r="BB442" s="20"/>
      <c r="BC442" s="20"/>
      <c r="BD442" s="20"/>
      <c r="BE442" s="20"/>
      <c r="BF442" s="20"/>
      <c r="BG442" s="20"/>
      <c r="BH442" s="20"/>
      <c r="BI442" s="21"/>
      <c r="BJ442" s="21"/>
    </row>
    <row r="443" spans="1:62" ht="15.75" customHeight="1">
      <c r="A443" s="3"/>
      <c r="B443" s="3"/>
      <c r="C443" s="3"/>
      <c r="D443" s="3"/>
      <c r="E443" s="3"/>
      <c r="F443" s="3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/>
      <c r="AS443" s="20"/>
      <c r="AT443" s="20"/>
      <c r="AU443" s="20"/>
      <c r="AV443" s="20"/>
      <c r="AW443" s="20"/>
      <c r="AX443" s="20"/>
      <c r="AY443" s="20"/>
      <c r="AZ443" s="20"/>
      <c r="BA443" s="20"/>
      <c r="BB443" s="20"/>
      <c r="BC443" s="20"/>
      <c r="BD443" s="20"/>
      <c r="BE443" s="20"/>
      <c r="BF443" s="20"/>
      <c r="BG443" s="20"/>
      <c r="BH443" s="20"/>
      <c r="BI443" s="21"/>
      <c r="BJ443" s="21"/>
    </row>
    <row r="444" spans="1:62" ht="15.75" customHeight="1">
      <c r="A444" s="3"/>
      <c r="B444" s="3"/>
      <c r="C444" s="3"/>
      <c r="D444" s="3"/>
      <c r="E444" s="3"/>
      <c r="F444" s="3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/>
      <c r="AS444" s="20"/>
      <c r="AT444" s="20"/>
      <c r="AU444" s="20"/>
      <c r="AV444" s="20"/>
      <c r="AW444" s="20"/>
      <c r="AX444" s="20"/>
      <c r="AY444" s="20"/>
      <c r="AZ444" s="20"/>
      <c r="BA444" s="20"/>
      <c r="BB444" s="20"/>
      <c r="BC444" s="20"/>
      <c r="BD444" s="20"/>
      <c r="BE444" s="20"/>
      <c r="BF444" s="20"/>
      <c r="BG444" s="20"/>
      <c r="BH444" s="20"/>
      <c r="BI444" s="21"/>
      <c r="BJ444" s="21"/>
    </row>
    <row r="445" spans="1:62" ht="15.75" customHeight="1">
      <c r="A445" s="3"/>
      <c r="B445" s="3"/>
      <c r="C445" s="3"/>
      <c r="D445" s="3"/>
      <c r="E445" s="3"/>
      <c r="F445" s="3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/>
      <c r="AS445" s="20"/>
      <c r="AT445" s="20"/>
      <c r="AU445" s="20"/>
      <c r="AV445" s="20"/>
      <c r="AW445" s="20"/>
      <c r="AX445" s="20"/>
      <c r="AY445" s="20"/>
      <c r="AZ445" s="20"/>
      <c r="BA445" s="20"/>
      <c r="BB445" s="20"/>
      <c r="BC445" s="20"/>
      <c r="BD445" s="20"/>
      <c r="BE445" s="20"/>
      <c r="BF445" s="20"/>
      <c r="BG445" s="20"/>
      <c r="BH445" s="20"/>
      <c r="BI445" s="21"/>
      <c r="BJ445" s="21"/>
    </row>
    <row r="446" spans="1:62" ht="15.75" customHeight="1">
      <c r="A446" s="3"/>
      <c r="B446" s="3"/>
      <c r="C446" s="3"/>
      <c r="D446" s="3"/>
      <c r="E446" s="3"/>
      <c r="F446" s="3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1"/>
      <c r="BJ446" s="21"/>
    </row>
    <row r="447" spans="1:62" ht="15.75" customHeight="1">
      <c r="A447" s="3"/>
      <c r="B447" s="3"/>
      <c r="C447" s="3"/>
      <c r="D447" s="3"/>
      <c r="E447" s="3"/>
      <c r="F447" s="3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/>
      <c r="AS447" s="20"/>
      <c r="AT447" s="20"/>
      <c r="AU447" s="20"/>
      <c r="AV447" s="20"/>
      <c r="AW447" s="20"/>
      <c r="AX447" s="20"/>
      <c r="AY447" s="20"/>
      <c r="AZ447" s="20"/>
      <c r="BA447" s="20"/>
      <c r="BB447" s="20"/>
      <c r="BC447" s="20"/>
      <c r="BD447" s="20"/>
      <c r="BE447" s="20"/>
      <c r="BF447" s="20"/>
      <c r="BG447" s="20"/>
      <c r="BH447" s="20"/>
      <c r="BI447" s="21"/>
      <c r="BJ447" s="21"/>
    </row>
    <row r="448" spans="1:62" ht="15.75" customHeight="1">
      <c r="A448" s="3"/>
      <c r="B448" s="3"/>
      <c r="C448" s="3"/>
      <c r="D448" s="3"/>
      <c r="E448" s="3"/>
      <c r="F448" s="3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/>
      <c r="AS448" s="20"/>
      <c r="AT448" s="20"/>
      <c r="AU448" s="20"/>
      <c r="AV448" s="20"/>
      <c r="AW448" s="20"/>
      <c r="AX448" s="20"/>
      <c r="AY448" s="20"/>
      <c r="AZ448" s="20"/>
      <c r="BA448" s="20"/>
      <c r="BB448" s="20"/>
      <c r="BC448" s="20"/>
      <c r="BD448" s="20"/>
      <c r="BE448" s="20"/>
      <c r="BF448" s="20"/>
      <c r="BG448" s="20"/>
      <c r="BH448" s="20"/>
      <c r="BI448" s="21"/>
      <c r="BJ448" s="21"/>
    </row>
    <row r="449" spans="1:62" ht="15.75" customHeight="1">
      <c r="A449" s="3"/>
      <c r="B449" s="3"/>
      <c r="C449" s="3"/>
      <c r="D449" s="3"/>
      <c r="E449" s="3"/>
      <c r="F449" s="3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/>
      <c r="AS449" s="20"/>
      <c r="AT449" s="20"/>
      <c r="AU449" s="20"/>
      <c r="AV449" s="20"/>
      <c r="AW449" s="20"/>
      <c r="AX449" s="20"/>
      <c r="AY449" s="20"/>
      <c r="AZ449" s="20"/>
      <c r="BA449" s="20"/>
      <c r="BB449" s="20"/>
      <c r="BC449" s="20"/>
      <c r="BD449" s="20"/>
      <c r="BE449" s="20"/>
      <c r="BF449" s="20"/>
      <c r="BG449" s="20"/>
      <c r="BH449" s="20"/>
      <c r="BI449" s="21"/>
      <c r="BJ449" s="21"/>
    </row>
    <row r="450" spans="1:62" ht="15.75" customHeight="1">
      <c r="A450" s="3"/>
      <c r="B450" s="3"/>
      <c r="C450" s="3"/>
      <c r="D450" s="3"/>
      <c r="E450" s="3"/>
      <c r="F450" s="3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/>
      <c r="AS450" s="20"/>
      <c r="AT450" s="20"/>
      <c r="AU450" s="20"/>
      <c r="AV450" s="20"/>
      <c r="AW450" s="20"/>
      <c r="AX450" s="20"/>
      <c r="AY450" s="20"/>
      <c r="AZ450" s="20"/>
      <c r="BA450" s="20"/>
      <c r="BB450" s="20"/>
      <c r="BC450" s="20"/>
      <c r="BD450" s="20"/>
      <c r="BE450" s="20"/>
      <c r="BF450" s="20"/>
      <c r="BG450" s="20"/>
      <c r="BH450" s="20"/>
      <c r="BI450" s="21"/>
      <c r="BJ450" s="21"/>
    </row>
    <row r="451" spans="1:62" ht="15.75" customHeight="1">
      <c r="A451" s="3"/>
      <c r="B451" s="3"/>
      <c r="C451" s="3"/>
      <c r="D451" s="3"/>
      <c r="E451" s="3"/>
      <c r="F451" s="3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/>
      <c r="AS451" s="20"/>
      <c r="AT451" s="20"/>
      <c r="AU451" s="20"/>
      <c r="AV451" s="20"/>
      <c r="AW451" s="20"/>
      <c r="AX451" s="20"/>
      <c r="AY451" s="20"/>
      <c r="AZ451" s="20"/>
      <c r="BA451" s="20"/>
      <c r="BB451" s="20"/>
      <c r="BC451" s="20"/>
      <c r="BD451" s="20"/>
      <c r="BE451" s="20"/>
      <c r="BF451" s="20"/>
      <c r="BG451" s="20"/>
      <c r="BH451" s="20"/>
      <c r="BI451" s="21"/>
      <c r="BJ451" s="21"/>
    </row>
    <row r="452" spans="1:62" ht="15.75" customHeight="1">
      <c r="A452" s="3"/>
      <c r="B452" s="3"/>
      <c r="C452" s="3"/>
      <c r="D452" s="3"/>
      <c r="E452" s="3"/>
      <c r="F452" s="3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/>
      <c r="AS452" s="20"/>
      <c r="AT452" s="20"/>
      <c r="AU452" s="20"/>
      <c r="AV452" s="20"/>
      <c r="AW452" s="20"/>
      <c r="AX452" s="20"/>
      <c r="AY452" s="20"/>
      <c r="AZ452" s="20"/>
      <c r="BA452" s="20"/>
      <c r="BB452" s="20"/>
      <c r="BC452" s="20"/>
      <c r="BD452" s="20"/>
      <c r="BE452" s="20"/>
      <c r="BF452" s="20"/>
      <c r="BG452" s="20"/>
      <c r="BH452" s="20"/>
      <c r="BI452" s="21"/>
      <c r="BJ452" s="21"/>
    </row>
    <row r="453" spans="1:62" ht="15.75" customHeight="1">
      <c r="A453" s="3"/>
      <c r="B453" s="3"/>
      <c r="C453" s="3"/>
      <c r="D453" s="3"/>
      <c r="E453" s="3"/>
      <c r="F453" s="3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  <c r="BD453" s="20"/>
      <c r="BE453" s="20"/>
      <c r="BF453" s="20"/>
      <c r="BG453" s="20"/>
      <c r="BH453" s="20"/>
      <c r="BI453" s="21"/>
      <c r="BJ453" s="21"/>
    </row>
    <row r="454" spans="1:62" ht="15.75" customHeight="1">
      <c r="A454" s="3"/>
      <c r="B454" s="3"/>
      <c r="C454" s="3"/>
      <c r="D454" s="3"/>
      <c r="E454" s="3"/>
      <c r="F454" s="3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/>
      <c r="AS454" s="20"/>
      <c r="AT454" s="20"/>
      <c r="AU454" s="20"/>
      <c r="AV454" s="20"/>
      <c r="AW454" s="20"/>
      <c r="AX454" s="20"/>
      <c r="AY454" s="20"/>
      <c r="AZ454" s="20"/>
      <c r="BA454" s="20"/>
      <c r="BB454" s="20"/>
      <c r="BC454" s="20"/>
      <c r="BD454" s="20"/>
      <c r="BE454" s="20"/>
      <c r="BF454" s="20"/>
      <c r="BG454" s="20"/>
      <c r="BH454" s="20"/>
      <c r="BI454" s="21"/>
      <c r="BJ454" s="21"/>
    </row>
    <row r="455" spans="1:62" ht="15.75" customHeight="1">
      <c r="A455" s="3"/>
      <c r="B455" s="3"/>
      <c r="C455" s="3"/>
      <c r="D455" s="3"/>
      <c r="E455" s="3"/>
      <c r="F455" s="3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/>
      <c r="AS455" s="20"/>
      <c r="AT455" s="20"/>
      <c r="AU455" s="20"/>
      <c r="AV455" s="20"/>
      <c r="AW455" s="20"/>
      <c r="AX455" s="20"/>
      <c r="AY455" s="20"/>
      <c r="AZ455" s="20"/>
      <c r="BA455" s="20"/>
      <c r="BB455" s="20"/>
      <c r="BC455" s="20"/>
      <c r="BD455" s="20"/>
      <c r="BE455" s="20"/>
      <c r="BF455" s="20"/>
      <c r="BG455" s="20"/>
      <c r="BH455" s="20"/>
      <c r="BI455" s="21"/>
      <c r="BJ455" s="21"/>
    </row>
    <row r="456" spans="1:62" ht="15.75" customHeight="1">
      <c r="A456" s="3"/>
      <c r="B456" s="3"/>
      <c r="C456" s="3"/>
      <c r="D456" s="3"/>
      <c r="E456" s="3"/>
      <c r="F456" s="3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AZ456" s="20"/>
      <c r="BA456" s="20"/>
      <c r="BB456" s="20"/>
      <c r="BC456" s="20"/>
      <c r="BD456" s="20"/>
      <c r="BE456" s="20"/>
      <c r="BF456" s="20"/>
      <c r="BG456" s="20"/>
      <c r="BH456" s="20"/>
      <c r="BI456" s="21"/>
      <c r="BJ456" s="21"/>
    </row>
    <row r="457" spans="1:62" ht="15.75" customHeight="1">
      <c r="A457" s="3"/>
      <c r="B457" s="3"/>
      <c r="C457" s="3"/>
      <c r="D457" s="3"/>
      <c r="E457" s="3"/>
      <c r="F457" s="3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/>
      <c r="AS457" s="20"/>
      <c r="AT457" s="20"/>
      <c r="AU457" s="20"/>
      <c r="AV457" s="20"/>
      <c r="AW457" s="20"/>
      <c r="AX457" s="20"/>
      <c r="AY457" s="20"/>
      <c r="AZ457" s="20"/>
      <c r="BA457" s="20"/>
      <c r="BB457" s="20"/>
      <c r="BC457" s="20"/>
      <c r="BD457" s="20"/>
      <c r="BE457" s="20"/>
      <c r="BF457" s="20"/>
      <c r="BG457" s="20"/>
      <c r="BH457" s="20"/>
      <c r="BI457" s="21"/>
      <c r="BJ457" s="21"/>
    </row>
    <row r="458" spans="1:62" ht="15.75" customHeight="1">
      <c r="A458" s="3"/>
      <c r="B458" s="3"/>
      <c r="C458" s="3"/>
      <c r="D458" s="3"/>
      <c r="E458" s="3"/>
      <c r="F458" s="3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/>
      <c r="AS458" s="20"/>
      <c r="AT458" s="20"/>
      <c r="AU458" s="20"/>
      <c r="AV458" s="20"/>
      <c r="AW458" s="20"/>
      <c r="AX458" s="20"/>
      <c r="AY458" s="20"/>
      <c r="AZ458" s="20"/>
      <c r="BA458" s="20"/>
      <c r="BB458" s="20"/>
      <c r="BC458" s="20"/>
      <c r="BD458" s="20"/>
      <c r="BE458" s="20"/>
      <c r="BF458" s="20"/>
      <c r="BG458" s="20"/>
      <c r="BH458" s="20"/>
      <c r="BI458" s="21"/>
      <c r="BJ458" s="21"/>
    </row>
    <row r="459" spans="1:62" ht="15.75" customHeight="1">
      <c r="A459" s="3"/>
      <c r="B459" s="3"/>
      <c r="C459" s="3"/>
      <c r="D459" s="3"/>
      <c r="E459" s="3"/>
      <c r="F459" s="3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/>
      <c r="AS459" s="20"/>
      <c r="AT459" s="20"/>
      <c r="AU459" s="20"/>
      <c r="AV459" s="20"/>
      <c r="AW459" s="20"/>
      <c r="AX459" s="20"/>
      <c r="AY459" s="20"/>
      <c r="AZ459" s="20"/>
      <c r="BA459" s="20"/>
      <c r="BB459" s="20"/>
      <c r="BC459" s="20"/>
      <c r="BD459" s="20"/>
      <c r="BE459" s="20"/>
      <c r="BF459" s="20"/>
      <c r="BG459" s="20"/>
      <c r="BH459" s="20"/>
      <c r="BI459" s="21"/>
      <c r="BJ459" s="21"/>
    </row>
    <row r="460" spans="1:62" ht="15.75" customHeight="1">
      <c r="A460" s="3"/>
      <c r="B460" s="3"/>
      <c r="C460" s="3"/>
      <c r="D460" s="3"/>
      <c r="E460" s="3"/>
      <c r="F460" s="3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/>
      <c r="AS460" s="20"/>
      <c r="AT460" s="20"/>
      <c r="AU460" s="20"/>
      <c r="AV460" s="20"/>
      <c r="AW460" s="20"/>
      <c r="AX460" s="20"/>
      <c r="AY460" s="20"/>
      <c r="AZ460" s="20"/>
      <c r="BA460" s="20"/>
      <c r="BB460" s="20"/>
      <c r="BC460" s="20"/>
      <c r="BD460" s="20"/>
      <c r="BE460" s="20"/>
      <c r="BF460" s="20"/>
      <c r="BG460" s="20"/>
      <c r="BH460" s="20"/>
      <c r="BI460" s="21"/>
      <c r="BJ460" s="21"/>
    </row>
    <row r="461" spans="1:62" ht="15.75" customHeight="1">
      <c r="A461" s="3"/>
      <c r="B461" s="3"/>
      <c r="C461" s="3"/>
      <c r="D461" s="3"/>
      <c r="E461" s="3"/>
      <c r="F461" s="3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/>
      <c r="AS461" s="20"/>
      <c r="AT461" s="20"/>
      <c r="AU461" s="20"/>
      <c r="AV461" s="20"/>
      <c r="AW461" s="20"/>
      <c r="AX461" s="20"/>
      <c r="AY461" s="20"/>
      <c r="AZ461" s="20"/>
      <c r="BA461" s="20"/>
      <c r="BB461" s="20"/>
      <c r="BC461" s="20"/>
      <c r="BD461" s="20"/>
      <c r="BE461" s="20"/>
      <c r="BF461" s="20"/>
      <c r="BG461" s="20"/>
      <c r="BH461" s="20"/>
      <c r="BI461" s="21"/>
      <c r="BJ461" s="21"/>
    </row>
    <row r="462" spans="1:62" ht="15.75" customHeight="1">
      <c r="A462" s="3"/>
      <c r="B462" s="3"/>
      <c r="C462" s="3"/>
      <c r="D462" s="3"/>
      <c r="E462" s="3"/>
      <c r="F462" s="3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/>
      <c r="AS462" s="20"/>
      <c r="AT462" s="20"/>
      <c r="AU462" s="20"/>
      <c r="AV462" s="20"/>
      <c r="AW462" s="20"/>
      <c r="AX462" s="20"/>
      <c r="AY462" s="20"/>
      <c r="AZ462" s="20"/>
      <c r="BA462" s="20"/>
      <c r="BB462" s="20"/>
      <c r="BC462" s="20"/>
      <c r="BD462" s="20"/>
      <c r="BE462" s="20"/>
      <c r="BF462" s="20"/>
      <c r="BG462" s="20"/>
      <c r="BH462" s="20"/>
      <c r="BI462" s="21"/>
      <c r="BJ462" s="21"/>
    </row>
    <row r="463" spans="1:62" ht="15.75" customHeight="1">
      <c r="A463" s="3"/>
      <c r="B463" s="3"/>
      <c r="C463" s="3"/>
      <c r="D463" s="3"/>
      <c r="E463" s="3"/>
      <c r="F463" s="3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  <c r="AE463" s="20"/>
      <c r="AF463" s="20"/>
      <c r="AG463" s="20"/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/>
      <c r="AS463" s="20"/>
      <c r="AT463" s="20"/>
      <c r="AU463" s="20"/>
      <c r="AV463" s="20"/>
      <c r="AW463" s="20"/>
      <c r="AX463" s="20"/>
      <c r="AY463" s="20"/>
      <c r="AZ463" s="20"/>
      <c r="BA463" s="20"/>
      <c r="BB463" s="20"/>
      <c r="BC463" s="20"/>
      <c r="BD463" s="20"/>
      <c r="BE463" s="20"/>
      <c r="BF463" s="20"/>
      <c r="BG463" s="20"/>
      <c r="BH463" s="20"/>
      <c r="BI463" s="21"/>
      <c r="BJ463" s="21"/>
    </row>
    <row r="464" spans="1:62" ht="15.75" customHeight="1">
      <c r="A464" s="3"/>
      <c r="B464" s="3"/>
      <c r="C464" s="3"/>
      <c r="D464" s="3"/>
      <c r="E464" s="3"/>
      <c r="F464" s="3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/>
      <c r="AS464" s="20"/>
      <c r="AT464" s="20"/>
      <c r="AU464" s="20"/>
      <c r="AV464" s="20"/>
      <c r="AW464" s="20"/>
      <c r="AX464" s="20"/>
      <c r="AY464" s="20"/>
      <c r="AZ464" s="20"/>
      <c r="BA464" s="20"/>
      <c r="BB464" s="20"/>
      <c r="BC464" s="20"/>
      <c r="BD464" s="20"/>
      <c r="BE464" s="20"/>
      <c r="BF464" s="20"/>
      <c r="BG464" s="20"/>
      <c r="BH464" s="20"/>
      <c r="BI464" s="21"/>
      <c r="BJ464" s="21"/>
    </row>
    <row r="465" spans="1:62" ht="15.75" customHeight="1">
      <c r="A465" s="3"/>
      <c r="B465" s="3"/>
      <c r="C465" s="3"/>
      <c r="D465" s="3"/>
      <c r="E465" s="3"/>
      <c r="F465" s="3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/>
      <c r="AS465" s="20"/>
      <c r="AT465" s="20"/>
      <c r="AU465" s="20"/>
      <c r="AV465" s="20"/>
      <c r="AW465" s="20"/>
      <c r="AX465" s="20"/>
      <c r="AY465" s="20"/>
      <c r="AZ465" s="20"/>
      <c r="BA465" s="20"/>
      <c r="BB465" s="20"/>
      <c r="BC465" s="20"/>
      <c r="BD465" s="20"/>
      <c r="BE465" s="20"/>
      <c r="BF465" s="20"/>
      <c r="BG465" s="20"/>
      <c r="BH465" s="20"/>
      <c r="BI465" s="21"/>
      <c r="BJ465" s="21"/>
    </row>
    <row r="466" spans="1:62" ht="15.75" customHeight="1">
      <c r="A466" s="3"/>
      <c r="B466" s="3"/>
      <c r="C466" s="3"/>
      <c r="D466" s="3"/>
      <c r="E466" s="3"/>
      <c r="F466" s="3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  <c r="AE466" s="20"/>
      <c r="AF466" s="20"/>
      <c r="AG466" s="20"/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/>
      <c r="AS466" s="20"/>
      <c r="AT466" s="20"/>
      <c r="AU466" s="20"/>
      <c r="AV466" s="20"/>
      <c r="AW466" s="20"/>
      <c r="AX466" s="20"/>
      <c r="AY466" s="20"/>
      <c r="AZ466" s="20"/>
      <c r="BA466" s="20"/>
      <c r="BB466" s="20"/>
      <c r="BC466" s="20"/>
      <c r="BD466" s="20"/>
      <c r="BE466" s="20"/>
      <c r="BF466" s="20"/>
      <c r="BG466" s="20"/>
      <c r="BH466" s="20"/>
      <c r="BI466" s="21"/>
      <c r="BJ466" s="21"/>
    </row>
    <row r="467" spans="1:62" ht="15.75" customHeight="1">
      <c r="A467" s="3"/>
      <c r="B467" s="3"/>
      <c r="C467" s="3"/>
      <c r="D467" s="3"/>
      <c r="E467" s="3"/>
      <c r="F467" s="3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/>
      <c r="AS467" s="20"/>
      <c r="AT467" s="20"/>
      <c r="AU467" s="20"/>
      <c r="AV467" s="20"/>
      <c r="AW467" s="20"/>
      <c r="AX467" s="20"/>
      <c r="AY467" s="20"/>
      <c r="AZ467" s="20"/>
      <c r="BA467" s="20"/>
      <c r="BB467" s="20"/>
      <c r="BC467" s="20"/>
      <c r="BD467" s="20"/>
      <c r="BE467" s="20"/>
      <c r="BF467" s="20"/>
      <c r="BG467" s="20"/>
      <c r="BH467" s="20"/>
      <c r="BI467" s="21"/>
      <c r="BJ467" s="21"/>
    </row>
    <row r="468" spans="1:62" ht="15.75" customHeight="1">
      <c r="A468" s="3"/>
      <c r="B468" s="3"/>
      <c r="C468" s="3"/>
      <c r="D468" s="3"/>
      <c r="E468" s="3"/>
      <c r="F468" s="3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/>
      <c r="AS468" s="20"/>
      <c r="AT468" s="20"/>
      <c r="AU468" s="20"/>
      <c r="AV468" s="20"/>
      <c r="AW468" s="20"/>
      <c r="AX468" s="20"/>
      <c r="AY468" s="20"/>
      <c r="AZ468" s="20"/>
      <c r="BA468" s="20"/>
      <c r="BB468" s="20"/>
      <c r="BC468" s="20"/>
      <c r="BD468" s="20"/>
      <c r="BE468" s="20"/>
      <c r="BF468" s="20"/>
      <c r="BG468" s="20"/>
      <c r="BH468" s="20"/>
      <c r="BI468" s="21"/>
      <c r="BJ468" s="21"/>
    </row>
    <row r="469" spans="1:62" ht="15.75" customHeight="1">
      <c r="A469" s="3"/>
      <c r="B469" s="3"/>
      <c r="C469" s="3"/>
      <c r="D469" s="3"/>
      <c r="E469" s="3"/>
      <c r="F469" s="3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/>
      <c r="AS469" s="20"/>
      <c r="AT469" s="20"/>
      <c r="AU469" s="20"/>
      <c r="AV469" s="20"/>
      <c r="AW469" s="20"/>
      <c r="AX469" s="20"/>
      <c r="AY469" s="20"/>
      <c r="AZ469" s="20"/>
      <c r="BA469" s="20"/>
      <c r="BB469" s="20"/>
      <c r="BC469" s="20"/>
      <c r="BD469" s="20"/>
      <c r="BE469" s="20"/>
      <c r="BF469" s="20"/>
      <c r="BG469" s="20"/>
      <c r="BH469" s="20"/>
      <c r="BI469" s="21"/>
      <c r="BJ469" s="21"/>
    </row>
    <row r="470" spans="1:62" ht="15.75" customHeight="1">
      <c r="A470" s="3"/>
      <c r="B470" s="3"/>
      <c r="C470" s="3"/>
      <c r="D470" s="3"/>
      <c r="E470" s="3"/>
      <c r="F470" s="3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/>
      <c r="AS470" s="20"/>
      <c r="AT470" s="20"/>
      <c r="AU470" s="20"/>
      <c r="AV470" s="20"/>
      <c r="AW470" s="20"/>
      <c r="AX470" s="20"/>
      <c r="AY470" s="20"/>
      <c r="AZ470" s="20"/>
      <c r="BA470" s="20"/>
      <c r="BB470" s="20"/>
      <c r="BC470" s="20"/>
      <c r="BD470" s="20"/>
      <c r="BE470" s="20"/>
      <c r="BF470" s="20"/>
      <c r="BG470" s="20"/>
      <c r="BH470" s="20"/>
      <c r="BI470" s="21"/>
      <c r="BJ470" s="21"/>
    </row>
    <row r="471" spans="1:62" ht="15.75" customHeight="1">
      <c r="A471" s="3"/>
      <c r="B471" s="3"/>
      <c r="C471" s="3"/>
      <c r="D471" s="3"/>
      <c r="E471" s="3"/>
      <c r="F471" s="3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/>
      <c r="AS471" s="20"/>
      <c r="AT471" s="20"/>
      <c r="AU471" s="20"/>
      <c r="AV471" s="20"/>
      <c r="AW471" s="20"/>
      <c r="AX471" s="20"/>
      <c r="AY471" s="20"/>
      <c r="AZ471" s="20"/>
      <c r="BA471" s="20"/>
      <c r="BB471" s="20"/>
      <c r="BC471" s="20"/>
      <c r="BD471" s="20"/>
      <c r="BE471" s="20"/>
      <c r="BF471" s="20"/>
      <c r="BG471" s="20"/>
      <c r="BH471" s="20"/>
      <c r="BI471" s="21"/>
      <c r="BJ471" s="21"/>
    </row>
    <row r="472" spans="1:62" ht="15.75" customHeight="1">
      <c r="A472" s="3"/>
      <c r="B472" s="3"/>
      <c r="C472" s="3"/>
      <c r="D472" s="3"/>
      <c r="E472" s="3"/>
      <c r="F472" s="3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/>
      <c r="AS472" s="20"/>
      <c r="AT472" s="20"/>
      <c r="AU472" s="20"/>
      <c r="AV472" s="20"/>
      <c r="AW472" s="20"/>
      <c r="AX472" s="20"/>
      <c r="AY472" s="20"/>
      <c r="AZ472" s="20"/>
      <c r="BA472" s="20"/>
      <c r="BB472" s="20"/>
      <c r="BC472" s="20"/>
      <c r="BD472" s="20"/>
      <c r="BE472" s="20"/>
      <c r="BF472" s="20"/>
      <c r="BG472" s="20"/>
      <c r="BH472" s="20"/>
      <c r="BI472" s="21"/>
      <c r="BJ472" s="21"/>
    </row>
    <row r="473" spans="1:62" ht="15.75" customHeight="1">
      <c r="A473" s="3"/>
      <c r="B473" s="3"/>
      <c r="C473" s="3"/>
      <c r="D473" s="3"/>
      <c r="E473" s="3"/>
      <c r="F473" s="3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/>
      <c r="AS473" s="20"/>
      <c r="AT473" s="20"/>
      <c r="AU473" s="20"/>
      <c r="AV473" s="20"/>
      <c r="AW473" s="20"/>
      <c r="AX473" s="20"/>
      <c r="AY473" s="20"/>
      <c r="AZ473" s="20"/>
      <c r="BA473" s="20"/>
      <c r="BB473" s="20"/>
      <c r="BC473" s="20"/>
      <c r="BD473" s="20"/>
      <c r="BE473" s="20"/>
      <c r="BF473" s="20"/>
      <c r="BG473" s="20"/>
      <c r="BH473" s="20"/>
      <c r="BI473" s="21"/>
      <c r="BJ473" s="21"/>
    </row>
    <row r="474" spans="1:62" ht="15.75" customHeight="1">
      <c r="A474" s="3"/>
      <c r="B474" s="3"/>
      <c r="C474" s="3"/>
      <c r="D474" s="3"/>
      <c r="E474" s="3"/>
      <c r="F474" s="3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/>
      <c r="AS474" s="20"/>
      <c r="AT474" s="20"/>
      <c r="AU474" s="20"/>
      <c r="AV474" s="20"/>
      <c r="AW474" s="20"/>
      <c r="AX474" s="20"/>
      <c r="AY474" s="20"/>
      <c r="AZ474" s="20"/>
      <c r="BA474" s="20"/>
      <c r="BB474" s="20"/>
      <c r="BC474" s="20"/>
      <c r="BD474" s="20"/>
      <c r="BE474" s="20"/>
      <c r="BF474" s="20"/>
      <c r="BG474" s="20"/>
      <c r="BH474" s="20"/>
      <c r="BI474" s="21"/>
      <c r="BJ474" s="21"/>
    </row>
    <row r="475" spans="1:62" ht="15.75" customHeight="1">
      <c r="A475" s="3"/>
      <c r="B475" s="3"/>
      <c r="C475" s="3"/>
      <c r="D475" s="3"/>
      <c r="E475" s="3"/>
      <c r="F475" s="3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/>
      <c r="AS475" s="20"/>
      <c r="AT475" s="20"/>
      <c r="AU475" s="20"/>
      <c r="AV475" s="20"/>
      <c r="AW475" s="20"/>
      <c r="AX475" s="20"/>
      <c r="AY475" s="20"/>
      <c r="AZ475" s="20"/>
      <c r="BA475" s="20"/>
      <c r="BB475" s="20"/>
      <c r="BC475" s="20"/>
      <c r="BD475" s="20"/>
      <c r="BE475" s="20"/>
      <c r="BF475" s="20"/>
      <c r="BG475" s="20"/>
      <c r="BH475" s="20"/>
      <c r="BI475" s="21"/>
      <c r="BJ475" s="21"/>
    </row>
    <row r="476" spans="1:62" ht="15.75" customHeight="1">
      <c r="A476" s="3"/>
      <c r="B476" s="3"/>
      <c r="C476" s="3"/>
      <c r="D476" s="3"/>
      <c r="E476" s="3"/>
      <c r="F476" s="3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/>
      <c r="AS476" s="20"/>
      <c r="AT476" s="20"/>
      <c r="AU476" s="20"/>
      <c r="AV476" s="20"/>
      <c r="AW476" s="20"/>
      <c r="AX476" s="20"/>
      <c r="AY476" s="20"/>
      <c r="AZ476" s="20"/>
      <c r="BA476" s="20"/>
      <c r="BB476" s="20"/>
      <c r="BC476" s="20"/>
      <c r="BD476" s="20"/>
      <c r="BE476" s="20"/>
      <c r="BF476" s="20"/>
      <c r="BG476" s="20"/>
      <c r="BH476" s="20"/>
      <c r="BI476" s="21"/>
      <c r="BJ476" s="21"/>
    </row>
    <row r="477" spans="1:62" ht="15.75" customHeight="1">
      <c r="A477" s="3"/>
      <c r="B477" s="3"/>
      <c r="C477" s="3"/>
      <c r="D477" s="3"/>
      <c r="E477" s="3"/>
      <c r="F477" s="3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/>
      <c r="AS477" s="20"/>
      <c r="AT477" s="20"/>
      <c r="AU477" s="20"/>
      <c r="AV477" s="20"/>
      <c r="AW477" s="20"/>
      <c r="AX477" s="20"/>
      <c r="AY477" s="20"/>
      <c r="AZ477" s="20"/>
      <c r="BA477" s="20"/>
      <c r="BB477" s="20"/>
      <c r="BC477" s="20"/>
      <c r="BD477" s="20"/>
      <c r="BE477" s="20"/>
      <c r="BF477" s="20"/>
      <c r="BG477" s="20"/>
      <c r="BH477" s="20"/>
      <c r="BI477" s="21"/>
      <c r="BJ477" s="21"/>
    </row>
    <row r="478" spans="1:62" ht="15.75" customHeight="1">
      <c r="A478" s="3"/>
      <c r="B478" s="3"/>
      <c r="C478" s="3"/>
      <c r="D478" s="3"/>
      <c r="E478" s="3"/>
      <c r="F478" s="3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/>
      <c r="AS478" s="20"/>
      <c r="AT478" s="20"/>
      <c r="AU478" s="20"/>
      <c r="AV478" s="20"/>
      <c r="AW478" s="20"/>
      <c r="AX478" s="20"/>
      <c r="AY478" s="20"/>
      <c r="AZ478" s="20"/>
      <c r="BA478" s="20"/>
      <c r="BB478" s="20"/>
      <c r="BC478" s="20"/>
      <c r="BD478" s="20"/>
      <c r="BE478" s="20"/>
      <c r="BF478" s="20"/>
      <c r="BG478" s="20"/>
      <c r="BH478" s="20"/>
      <c r="BI478" s="21"/>
      <c r="BJ478" s="21"/>
    </row>
    <row r="479" spans="1:62" ht="15.75" customHeight="1">
      <c r="A479" s="3"/>
      <c r="B479" s="3"/>
      <c r="C479" s="3"/>
      <c r="D479" s="3"/>
      <c r="E479" s="3"/>
      <c r="F479" s="3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20"/>
      <c r="AZ479" s="20"/>
      <c r="BA479" s="20"/>
      <c r="BB479" s="20"/>
      <c r="BC479" s="20"/>
      <c r="BD479" s="20"/>
      <c r="BE479" s="20"/>
      <c r="BF479" s="20"/>
      <c r="BG479" s="20"/>
      <c r="BH479" s="20"/>
      <c r="BI479" s="21"/>
      <c r="BJ479" s="21"/>
    </row>
    <row r="480" spans="1:62" ht="15.75" customHeight="1">
      <c r="A480" s="3"/>
      <c r="B480" s="3"/>
      <c r="C480" s="3"/>
      <c r="D480" s="3"/>
      <c r="E480" s="3"/>
      <c r="F480" s="3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20"/>
      <c r="AZ480" s="20"/>
      <c r="BA480" s="20"/>
      <c r="BB480" s="20"/>
      <c r="BC480" s="20"/>
      <c r="BD480" s="20"/>
      <c r="BE480" s="20"/>
      <c r="BF480" s="20"/>
      <c r="BG480" s="20"/>
      <c r="BH480" s="20"/>
      <c r="BI480" s="21"/>
      <c r="BJ480" s="21"/>
    </row>
    <row r="481" spans="1:62" ht="15.75" customHeight="1">
      <c r="A481" s="3"/>
      <c r="B481" s="3"/>
      <c r="C481" s="3"/>
      <c r="D481" s="3"/>
      <c r="E481" s="3"/>
      <c r="F481" s="3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20"/>
      <c r="AZ481" s="20"/>
      <c r="BA481" s="20"/>
      <c r="BB481" s="20"/>
      <c r="BC481" s="20"/>
      <c r="BD481" s="20"/>
      <c r="BE481" s="20"/>
      <c r="BF481" s="20"/>
      <c r="BG481" s="20"/>
      <c r="BH481" s="20"/>
      <c r="BI481" s="21"/>
      <c r="BJ481" s="21"/>
    </row>
    <row r="482" spans="1:62" ht="15.75" customHeight="1">
      <c r="A482" s="3"/>
      <c r="B482" s="3"/>
      <c r="C482" s="3"/>
      <c r="D482" s="3"/>
      <c r="E482" s="3"/>
      <c r="F482" s="3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20"/>
      <c r="AZ482" s="20"/>
      <c r="BA482" s="20"/>
      <c r="BB482" s="20"/>
      <c r="BC482" s="20"/>
      <c r="BD482" s="20"/>
      <c r="BE482" s="20"/>
      <c r="BF482" s="20"/>
      <c r="BG482" s="20"/>
      <c r="BH482" s="20"/>
      <c r="BI482" s="21"/>
      <c r="BJ482" s="21"/>
    </row>
    <row r="483" spans="1:62" ht="15.75" customHeight="1">
      <c r="A483" s="3"/>
      <c r="B483" s="3"/>
      <c r="C483" s="3"/>
      <c r="D483" s="3"/>
      <c r="E483" s="3"/>
      <c r="F483" s="3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20"/>
      <c r="AZ483" s="20"/>
      <c r="BA483" s="20"/>
      <c r="BB483" s="20"/>
      <c r="BC483" s="20"/>
      <c r="BD483" s="20"/>
      <c r="BE483" s="20"/>
      <c r="BF483" s="20"/>
      <c r="BG483" s="20"/>
      <c r="BH483" s="20"/>
      <c r="BI483" s="21"/>
      <c r="BJ483" s="21"/>
    </row>
    <row r="484" spans="1:62" ht="15.75" customHeight="1">
      <c r="A484" s="3"/>
      <c r="B484" s="3"/>
      <c r="C484" s="3"/>
      <c r="D484" s="3"/>
      <c r="E484" s="3"/>
      <c r="F484" s="3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20"/>
      <c r="AZ484" s="20"/>
      <c r="BA484" s="20"/>
      <c r="BB484" s="20"/>
      <c r="BC484" s="20"/>
      <c r="BD484" s="20"/>
      <c r="BE484" s="20"/>
      <c r="BF484" s="20"/>
      <c r="BG484" s="20"/>
      <c r="BH484" s="20"/>
      <c r="BI484" s="21"/>
      <c r="BJ484" s="21"/>
    </row>
    <row r="485" spans="1:62" ht="15.75" customHeight="1">
      <c r="A485" s="3"/>
      <c r="B485" s="3"/>
      <c r="C485" s="3"/>
      <c r="D485" s="3"/>
      <c r="E485" s="3"/>
      <c r="F485" s="3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20"/>
      <c r="AZ485" s="20"/>
      <c r="BA485" s="20"/>
      <c r="BB485" s="20"/>
      <c r="BC485" s="20"/>
      <c r="BD485" s="20"/>
      <c r="BE485" s="20"/>
      <c r="BF485" s="20"/>
      <c r="BG485" s="20"/>
      <c r="BH485" s="20"/>
      <c r="BI485" s="21"/>
      <c r="BJ485" s="21"/>
    </row>
    <row r="486" spans="1:62" ht="15.75" customHeight="1">
      <c r="A486" s="3"/>
      <c r="B486" s="3"/>
      <c r="C486" s="3"/>
      <c r="D486" s="3"/>
      <c r="E486" s="3"/>
      <c r="F486" s="3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20"/>
      <c r="AZ486" s="20"/>
      <c r="BA486" s="20"/>
      <c r="BB486" s="20"/>
      <c r="BC486" s="20"/>
      <c r="BD486" s="20"/>
      <c r="BE486" s="20"/>
      <c r="BF486" s="20"/>
      <c r="BG486" s="20"/>
      <c r="BH486" s="20"/>
      <c r="BI486" s="21"/>
      <c r="BJ486" s="21"/>
    </row>
    <row r="487" spans="1:62" ht="15.75" customHeight="1">
      <c r="A487" s="3"/>
      <c r="B487" s="3"/>
      <c r="C487" s="3"/>
      <c r="D487" s="3"/>
      <c r="E487" s="3"/>
      <c r="F487" s="3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20"/>
      <c r="AZ487" s="20"/>
      <c r="BA487" s="20"/>
      <c r="BB487" s="20"/>
      <c r="BC487" s="20"/>
      <c r="BD487" s="20"/>
      <c r="BE487" s="20"/>
      <c r="BF487" s="20"/>
      <c r="BG487" s="20"/>
      <c r="BH487" s="20"/>
      <c r="BI487" s="21"/>
      <c r="BJ487" s="21"/>
    </row>
    <row r="488" spans="1:62" ht="15.75" customHeight="1">
      <c r="A488" s="3"/>
      <c r="B488" s="3"/>
      <c r="C488" s="3"/>
      <c r="D488" s="3"/>
      <c r="E488" s="3"/>
      <c r="F488" s="3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20"/>
      <c r="AZ488" s="20"/>
      <c r="BA488" s="20"/>
      <c r="BB488" s="20"/>
      <c r="BC488" s="20"/>
      <c r="BD488" s="20"/>
      <c r="BE488" s="20"/>
      <c r="BF488" s="20"/>
      <c r="BG488" s="20"/>
      <c r="BH488" s="20"/>
      <c r="BI488" s="21"/>
      <c r="BJ488" s="21"/>
    </row>
    <row r="489" spans="1:62" ht="15.75" customHeight="1">
      <c r="A489" s="3"/>
      <c r="B489" s="3"/>
      <c r="C489" s="3"/>
      <c r="D489" s="3"/>
      <c r="E489" s="3"/>
      <c r="F489" s="3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20"/>
      <c r="AZ489" s="20"/>
      <c r="BA489" s="20"/>
      <c r="BB489" s="20"/>
      <c r="BC489" s="20"/>
      <c r="BD489" s="20"/>
      <c r="BE489" s="20"/>
      <c r="BF489" s="20"/>
      <c r="BG489" s="20"/>
      <c r="BH489" s="20"/>
      <c r="BI489" s="21"/>
      <c r="BJ489" s="21"/>
    </row>
    <row r="490" spans="1:62" ht="15.75" customHeight="1">
      <c r="A490" s="3"/>
      <c r="B490" s="3"/>
      <c r="C490" s="3"/>
      <c r="D490" s="3"/>
      <c r="E490" s="3"/>
      <c r="F490" s="3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20"/>
      <c r="AZ490" s="20"/>
      <c r="BA490" s="20"/>
      <c r="BB490" s="20"/>
      <c r="BC490" s="20"/>
      <c r="BD490" s="20"/>
      <c r="BE490" s="20"/>
      <c r="BF490" s="20"/>
      <c r="BG490" s="20"/>
      <c r="BH490" s="20"/>
      <c r="BI490" s="21"/>
      <c r="BJ490" s="21"/>
    </row>
    <row r="491" spans="1:62" ht="15.75" customHeight="1">
      <c r="A491" s="3"/>
      <c r="B491" s="3"/>
      <c r="C491" s="3"/>
      <c r="D491" s="3"/>
      <c r="E491" s="3"/>
      <c r="F491" s="3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20"/>
      <c r="AZ491" s="20"/>
      <c r="BA491" s="20"/>
      <c r="BB491" s="20"/>
      <c r="BC491" s="20"/>
      <c r="BD491" s="20"/>
      <c r="BE491" s="20"/>
      <c r="BF491" s="20"/>
      <c r="BG491" s="20"/>
      <c r="BH491" s="20"/>
      <c r="BI491" s="21"/>
      <c r="BJ491" s="21"/>
    </row>
    <row r="492" spans="1:62" ht="15.75" customHeight="1">
      <c r="A492" s="3"/>
      <c r="B492" s="3"/>
      <c r="C492" s="3"/>
      <c r="D492" s="3"/>
      <c r="E492" s="3"/>
      <c r="F492" s="3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20"/>
      <c r="AZ492" s="20"/>
      <c r="BA492" s="20"/>
      <c r="BB492" s="20"/>
      <c r="BC492" s="20"/>
      <c r="BD492" s="20"/>
      <c r="BE492" s="20"/>
      <c r="BF492" s="20"/>
      <c r="BG492" s="20"/>
      <c r="BH492" s="20"/>
      <c r="BI492" s="21"/>
      <c r="BJ492" s="21"/>
    </row>
    <row r="493" spans="1:62" ht="15.75" customHeight="1">
      <c r="A493" s="3"/>
      <c r="B493" s="3"/>
      <c r="C493" s="3"/>
      <c r="D493" s="3"/>
      <c r="E493" s="3"/>
      <c r="F493" s="3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20"/>
      <c r="AZ493" s="20"/>
      <c r="BA493" s="20"/>
      <c r="BB493" s="20"/>
      <c r="BC493" s="20"/>
      <c r="BD493" s="20"/>
      <c r="BE493" s="20"/>
      <c r="BF493" s="20"/>
      <c r="BG493" s="20"/>
      <c r="BH493" s="20"/>
      <c r="BI493" s="21"/>
      <c r="BJ493" s="21"/>
    </row>
    <row r="494" spans="1:62" ht="15.75" customHeight="1">
      <c r="A494" s="3"/>
      <c r="B494" s="3"/>
      <c r="C494" s="3"/>
      <c r="D494" s="3"/>
      <c r="E494" s="3"/>
      <c r="F494" s="3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20"/>
      <c r="AZ494" s="20"/>
      <c r="BA494" s="20"/>
      <c r="BB494" s="20"/>
      <c r="BC494" s="20"/>
      <c r="BD494" s="20"/>
      <c r="BE494" s="20"/>
      <c r="BF494" s="20"/>
      <c r="BG494" s="20"/>
      <c r="BH494" s="20"/>
      <c r="BI494" s="21"/>
      <c r="BJ494" s="21"/>
    </row>
    <row r="495" spans="1:62" ht="15.75" customHeight="1">
      <c r="A495" s="3"/>
      <c r="B495" s="3"/>
      <c r="C495" s="3"/>
      <c r="D495" s="3"/>
      <c r="E495" s="3"/>
      <c r="F495" s="3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20"/>
      <c r="AZ495" s="20"/>
      <c r="BA495" s="20"/>
      <c r="BB495" s="20"/>
      <c r="BC495" s="20"/>
      <c r="BD495" s="20"/>
      <c r="BE495" s="20"/>
      <c r="BF495" s="20"/>
      <c r="BG495" s="20"/>
      <c r="BH495" s="20"/>
      <c r="BI495" s="21"/>
      <c r="BJ495" s="21"/>
    </row>
    <row r="496" spans="1:62" ht="15.75" customHeight="1">
      <c r="A496" s="3"/>
      <c r="B496" s="3"/>
      <c r="C496" s="3"/>
      <c r="D496" s="3"/>
      <c r="E496" s="3"/>
      <c r="F496" s="3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1"/>
      <c r="BJ496" s="21"/>
    </row>
    <row r="497" spans="1:62" ht="15.75" customHeight="1">
      <c r="A497" s="3"/>
      <c r="B497" s="3"/>
      <c r="C497" s="3"/>
      <c r="D497" s="3"/>
      <c r="E497" s="3"/>
      <c r="F497" s="3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20"/>
      <c r="AZ497" s="20"/>
      <c r="BA497" s="20"/>
      <c r="BB497" s="20"/>
      <c r="BC497" s="20"/>
      <c r="BD497" s="20"/>
      <c r="BE497" s="20"/>
      <c r="BF497" s="20"/>
      <c r="BG497" s="20"/>
      <c r="BH497" s="20"/>
      <c r="BI497" s="21"/>
      <c r="BJ497" s="21"/>
    </row>
    <row r="498" spans="1:62" ht="15.75" customHeight="1">
      <c r="A498" s="3"/>
      <c r="B498" s="3"/>
      <c r="C498" s="3"/>
      <c r="D498" s="3"/>
      <c r="E498" s="3"/>
      <c r="F498" s="3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20"/>
      <c r="AZ498" s="20"/>
      <c r="BA498" s="20"/>
      <c r="BB498" s="20"/>
      <c r="BC498" s="20"/>
      <c r="BD498" s="20"/>
      <c r="BE498" s="20"/>
      <c r="BF498" s="20"/>
      <c r="BG498" s="20"/>
      <c r="BH498" s="20"/>
      <c r="BI498" s="21"/>
      <c r="BJ498" s="21"/>
    </row>
    <row r="499" spans="1:62" ht="15.75" customHeight="1">
      <c r="A499" s="3"/>
      <c r="B499" s="3"/>
      <c r="C499" s="3"/>
      <c r="D499" s="3"/>
      <c r="E499" s="3"/>
      <c r="F499" s="3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20"/>
      <c r="AZ499" s="20"/>
      <c r="BA499" s="20"/>
      <c r="BB499" s="20"/>
      <c r="BC499" s="20"/>
      <c r="BD499" s="20"/>
      <c r="BE499" s="20"/>
      <c r="BF499" s="20"/>
      <c r="BG499" s="20"/>
      <c r="BH499" s="20"/>
      <c r="BI499" s="21"/>
      <c r="BJ499" s="21"/>
    </row>
    <row r="500" spans="1:62" ht="15.75" customHeight="1">
      <c r="A500" s="3"/>
      <c r="B500" s="3"/>
      <c r="C500" s="3"/>
      <c r="D500" s="3"/>
      <c r="E500" s="3"/>
      <c r="F500" s="3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20"/>
      <c r="AZ500" s="20"/>
      <c r="BA500" s="20"/>
      <c r="BB500" s="20"/>
      <c r="BC500" s="20"/>
      <c r="BD500" s="20"/>
      <c r="BE500" s="20"/>
      <c r="BF500" s="20"/>
      <c r="BG500" s="20"/>
      <c r="BH500" s="20"/>
      <c r="BI500" s="21"/>
      <c r="BJ500" s="21"/>
    </row>
    <row r="501" spans="1:62" ht="15.75" customHeight="1">
      <c r="A501" s="3"/>
      <c r="B501" s="3"/>
      <c r="C501" s="3"/>
      <c r="D501" s="3"/>
      <c r="E501" s="3"/>
      <c r="F501" s="3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20"/>
      <c r="AZ501" s="20"/>
      <c r="BA501" s="20"/>
      <c r="BB501" s="20"/>
      <c r="BC501" s="20"/>
      <c r="BD501" s="20"/>
      <c r="BE501" s="20"/>
      <c r="BF501" s="20"/>
      <c r="BG501" s="20"/>
      <c r="BH501" s="20"/>
      <c r="BI501" s="21"/>
      <c r="BJ501" s="21"/>
    </row>
    <row r="502" spans="1:62" ht="15.75" customHeight="1">
      <c r="A502" s="3"/>
      <c r="B502" s="3"/>
      <c r="C502" s="3"/>
      <c r="D502" s="3"/>
      <c r="E502" s="3"/>
      <c r="F502" s="3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20"/>
      <c r="AZ502" s="20"/>
      <c r="BA502" s="20"/>
      <c r="BB502" s="20"/>
      <c r="BC502" s="20"/>
      <c r="BD502" s="20"/>
      <c r="BE502" s="20"/>
      <c r="BF502" s="20"/>
      <c r="BG502" s="20"/>
      <c r="BH502" s="20"/>
      <c r="BI502" s="21"/>
      <c r="BJ502" s="21"/>
    </row>
    <row r="503" spans="1:62" ht="15.75" customHeight="1">
      <c r="A503" s="3"/>
      <c r="B503" s="3"/>
      <c r="C503" s="3"/>
      <c r="D503" s="3"/>
      <c r="E503" s="3"/>
      <c r="F503" s="3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20"/>
      <c r="AZ503" s="20"/>
      <c r="BA503" s="20"/>
      <c r="BB503" s="20"/>
      <c r="BC503" s="20"/>
      <c r="BD503" s="20"/>
      <c r="BE503" s="20"/>
      <c r="BF503" s="20"/>
      <c r="BG503" s="20"/>
      <c r="BH503" s="20"/>
      <c r="BI503" s="21"/>
      <c r="BJ503" s="21"/>
    </row>
    <row r="504" spans="1:62" ht="15.75" customHeight="1">
      <c r="A504" s="3"/>
      <c r="B504" s="3"/>
      <c r="C504" s="3"/>
      <c r="D504" s="3"/>
      <c r="E504" s="3"/>
      <c r="F504" s="3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20"/>
      <c r="AZ504" s="20"/>
      <c r="BA504" s="20"/>
      <c r="BB504" s="20"/>
      <c r="BC504" s="20"/>
      <c r="BD504" s="20"/>
      <c r="BE504" s="20"/>
      <c r="BF504" s="20"/>
      <c r="BG504" s="20"/>
      <c r="BH504" s="20"/>
      <c r="BI504" s="21"/>
      <c r="BJ504" s="21"/>
    </row>
    <row r="505" spans="1:62" ht="15.75" customHeight="1">
      <c r="A505" s="3"/>
      <c r="B505" s="3"/>
      <c r="C505" s="3"/>
      <c r="D505" s="3"/>
      <c r="E505" s="3"/>
      <c r="F505" s="3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20"/>
      <c r="AZ505" s="20"/>
      <c r="BA505" s="20"/>
      <c r="BB505" s="20"/>
      <c r="BC505" s="20"/>
      <c r="BD505" s="20"/>
      <c r="BE505" s="20"/>
      <c r="BF505" s="20"/>
      <c r="BG505" s="20"/>
      <c r="BH505" s="20"/>
      <c r="BI505" s="21"/>
      <c r="BJ505" s="21"/>
    </row>
    <row r="506" spans="1:62" ht="15.75" customHeight="1">
      <c r="A506" s="3"/>
      <c r="B506" s="3"/>
      <c r="C506" s="3"/>
      <c r="D506" s="3"/>
      <c r="E506" s="3"/>
      <c r="F506" s="3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20"/>
      <c r="AZ506" s="20"/>
      <c r="BA506" s="20"/>
      <c r="BB506" s="20"/>
      <c r="BC506" s="20"/>
      <c r="BD506" s="20"/>
      <c r="BE506" s="20"/>
      <c r="BF506" s="20"/>
      <c r="BG506" s="20"/>
      <c r="BH506" s="20"/>
      <c r="BI506" s="21"/>
      <c r="BJ506" s="21"/>
    </row>
    <row r="507" spans="1:62" ht="15.75" customHeight="1">
      <c r="A507" s="3"/>
      <c r="B507" s="3"/>
      <c r="C507" s="3"/>
      <c r="D507" s="3"/>
      <c r="E507" s="3"/>
      <c r="F507" s="3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20"/>
      <c r="AZ507" s="20"/>
      <c r="BA507" s="20"/>
      <c r="BB507" s="20"/>
      <c r="BC507" s="20"/>
      <c r="BD507" s="20"/>
      <c r="BE507" s="20"/>
      <c r="BF507" s="20"/>
      <c r="BG507" s="20"/>
      <c r="BH507" s="20"/>
      <c r="BI507" s="21"/>
      <c r="BJ507" s="21"/>
    </row>
    <row r="508" spans="1:62" ht="15.75" customHeight="1">
      <c r="A508" s="3"/>
      <c r="B508" s="3"/>
      <c r="C508" s="3"/>
      <c r="D508" s="3"/>
      <c r="E508" s="3"/>
      <c r="F508" s="3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1"/>
      <c r="BJ508" s="21"/>
    </row>
    <row r="509" spans="1:62" ht="15.75" customHeight="1">
      <c r="A509" s="3"/>
      <c r="B509" s="3"/>
      <c r="C509" s="3"/>
      <c r="D509" s="3"/>
      <c r="E509" s="3"/>
      <c r="F509" s="3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20"/>
      <c r="AZ509" s="20"/>
      <c r="BA509" s="20"/>
      <c r="BB509" s="20"/>
      <c r="BC509" s="20"/>
      <c r="BD509" s="20"/>
      <c r="BE509" s="20"/>
      <c r="BF509" s="20"/>
      <c r="BG509" s="20"/>
      <c r="BH509" s="20"/>
      <c r="BI509" s="21"/>
      <c r="BJ509" s="21"/>
    </row>
    <row r="510" spans="1:62" ht="15.75" customHeight="1">
      <c r="A510" s="3"/>
      <c r="B510" s="3"/>
      <c r="C510" s="3"/>
      <c r="D510" s="3"/>
      <c r="E510" s="3"/>
      <c r="F510" s="3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20"/>
      <c r="AZ510" s="20"/>
      <c r="BA510" s="20"/>
      <c r="BB510" s="20"/>
      <c r="BC510" s="20"/>
      <c r="BD510" s="20"/>
      <c r="BE510" s="20"/>
      <c r="BF510" s="20"/>
      <c r="BG510" s="20"/>
      <c r="BH510" s="20"/>
      <c r="BI510" s="21"/>
      <c r="BJ510" s="21"/>
    </row>
    <row r="511" spans="1:62" ht="15.75" customHeight="1">
      <c r="A511" s="3"/>
      <c r="B511" s="3"/>
      <c r="C511" s="3"/>
      <c r="D511" s="3"/>
      <c r="E511" s="3"/>
      <c r="F511" s="3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20"/>
      <c r="AZ511" s="20"/>
      <c r="BA511" s="20"/>
      <c r="BB511" s="20"/>
      <c r="BC511" s="20"/>
      <c r="BD511" s="20"/>
      <c r="BE511" s="20"/>
      <c r="BF511" s="20"/>
      <c r="BG511" s="20"/>
      <c r="BH511" s="20"/>
      <c r="BI511" s="21"/>
      <c r="BJ511" s="21"/>
    </row>
    <row r="512" spans="1:62" ht="15.75" customHeight="1">
      <c r="A512" s="3"/>
      <c r="B512" s="3"/>
      <c r="C512" s="3"/>
      <c r="D512" s="3"/>
      <c r="E512" s="3"/>
      <c r="F512" s="3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20"/>
      <c r="AZ512" s="20"/>
      <c r="BA512" s="20"/>
      <c r="BB512" s="20"/>
      <c r="BC512" s="20"/>
      <c r="BD512" s="20"/>
      <c r="BE512" s="20"/>
      <c r="BF512" s="20"/>
      <c r="BG512" s="20"/>
      <c r="BH512" s="20"/>
      <c r="BI512" s="21"/>
      <c r="BJ512" s="21"/>
    </row>
    <row r="513" spans="1:62" ht="15.75" customHeight="1">
      <c r="A513" s="3"/>
      <c r="B513" s="3"/>
      <c r="C513" s="3"/>
      <c r="D513" s="3"/>
      <c r="E513" s="3"/>
      <c r="F513" s="3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20"/>
      <c r="AZ513" s="20"/>
      <c r="BA513" s="20"/>
      <c r="BB513" s="20"/>
      <c r="BC513" s="20"/>
      <c r="BD513" s="20"/>
      <c r="BE513" s="20"/>
      <c r="BF513" s="20"/>
      <c r="BG513" s="20"/>
      <c r="BH513" s="20"/>
      <c r="BI513" s="21"/>
      <c r="BJ513" s="21"/>
    </row>
    <row r="514" spans="1:62" ht="15.75" customHeight="1">
      <c r="A514" s="3"/>
      <c r="B514" s="3"/>
      <c r="C514" s="3"/>
      <c r="D514" s="3"/>
      <c r="E514" s="3"/>
      <c r="F514" s="3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20"/>
      <c r="AZ514" s="20"/>
      <c r="BA514" s="20"/>
      <c r="BB514" s="20"/>
      <c r="BC514" s="20"/>
      <c r="BD514" s="20"/>
      <c r="BE514" s="20"/>
      <c r="BF514" s="20"/>
      <c r="BG514" s="20"/>
      <c r="BH514" s="20"/>
      <c r="BI514" s="21"/>
      <c r="BJ514" s="21"/>
    </row>
    <row r="515" spans="1:62" ht="15.75" customHeight="1">
      <c r="A515" s="3"/>
      <c r="B515" s="3"/>
      <c r="C515" s="3"/>
      <c r="D515" s="3"/>
      <c r="E515" s="3"/>
      <c r="F515" s="3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20"/>
      <c r="AZ515" s="20"/>
      <c r="BA515" s="20"/>
      <c r="BB515" s="20"/>
      <c r="BC515" s="20"/>
      <c r="BD515" s="20"/>
      <c r="BE515" s="20"/>
      <c r="BF515" s="20"/>
      <c r="BG515" s="20"/>
      <c r="BH515" s="20"/>
      <c r="BI515" s="21"/>
      <c r="BJ515" s="21"/>
    </row>
    <row r="516" spans="1:62" ht="15.75" customHeight="1">
      <c r="A516" s="3"/>
      <c r="B516" s="3"/>
      <c r="C516" s="3"/>
      <c r="D516" s="3"/>
      <c r="E516" s="3"/>
      <c r="F516" s="3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20"/>
      <c r="AZ516" s="20"/>
      <c r="BA516" s="20"/>
      <c r="BB516" s="20"/>
      <c r="BC516" s="20"/>
      <c r="BD516" s="20"/>
      <c r="BE516" s="20"/>
      <c r="BF516" s="20"/>
      <c r="BG516" s="20"/>
      <c r="BH516" s="20"/>
      <c r="BI516" s="21"/>
      <c r="BJ516" s="21"/>
    </row>
    <row r="517" spans="1:62" ht="15.75" customHeight="1">
      <c r="A517" s="3"/>
      <c r="B517" s="3"/>
      <c r="C517" s="3"/>
      <c r="D517" s="3"/>
      <c r="E517" s="3"/>
      <c r="F517" s="3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20"/>
      <c r="AZ517" s="20"/>
      <c r="BA517" s="20"/>
      <c r="BB517" s="20"/>
      <c r="BC517" s="20"/>
      <c r="BD517" s="20"/>
      <c r="BE517" s="20"/>
      <c r="BF517" s="20"/>
      <c r="BG517" s="20"/>
      <c r="BH517" s="20"/>
      <c r="BI517" s="21"/>
      <c r="BJ517" s="21"/>
    </row>
    <row r="518" spans="1:62" ht="15.75" customHeight="1">
      <c r="A518" s="3"/>
      <c r="B518" s="3"/>
      <c r="C518" s="3"/>
      <c r="D518" s="3"/>
      <c r="E518" s="3"/>
      <c r="F518" s="3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20"/>
      <c r="AZ518" s="20"/>
      <c r="BA518" s="20"/>
      <c r="BB518" s="20"/>
      <c r="BC518" s="20"/>
      <c r="BD518" s="20"/>
      <c r="BE518" s="20"/>
      <c r="BF518" s="20"/>
      <c r="BG518" s="20"/>
      <c r="BH518" s="20"/>
      <c r="BI518" s="21"/>
      <c r="BJ518" s="21"/>
    </row>
    <row r="519" spans="1:62" ht="15.75" customHeight="1">
      <c r="A519" s="3"/>
      <c r="B519" s="3"/>
      <c r="C519" s="3"/>
      <c r="D519" s="3"/>
      <c r="E519" s="3"/>
      <c r="F519" s="3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20"/>
      <c r="AZ519" s="20"/>
      <c r="BA519" s="20"/>
      <c r="BB519" s="20"/>
      <c r="BC519" s="20"/>
      <c r="BD519" s="20"/>
      <c r="BE519" s="20"/>
      <c r="BF519" s="20"/>
      <c r="BG519" s="20"/>
      <c r="BH519" s="20"/>
      <c r="BI519" s="21"/>
      <c r="BJ519" s="21"/>
    </row>
    <row r="520" spans="1:62" ht="15.75" customHeight="1">
      <c r="A520" s="3"/>
      <c r="B520" s="3"/>
      <c r="C520" s="3"/>
      <c r="D520" s="3"/>
      <c r="E520" s="3"/>
      <c r="F520" s="3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20"/>
      <c r="AZ520" s="20"/>
      <c r="BA520" s="20"/>
      <c r="BB520" s="20"/>
      <c r="BC520" s="20"/>
      <c r="BD520" s="20"/>
      <c r="BE520" s="20"/>
      <c r="BF520" s="20"/>
      <c r="BG520" s="20"/>
      <c r="BH520" s="20"/>
      <c r="BI520" s="21"/>
      <c r="BJ520" s="21"/>
    </row>
    <row r="521" spans="1:62" ht="15.75" customHeight="1">
      <c r="A521" s="3"/>
      <c r="B521" s="3"/>
      <c r="C521" s="3"/>
      <c r="D521" s="3"/>
      <c r="E521" s="3"/>
      <c r="F521" s="3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20"/>
      <c r="AZ521" s="20"/>
      <c r="BA521" s="20"/>
      <c r="BB521" s="20"/>
      <c r="BC521" s="20"/>
      <c r="BD521" s="20"/>
      <c r="BE521" s="20"/>
      <c r="BF521" s="20"/>
      <c r="BG521" s="20"/>
      <c r="BH521" s="20"/>
      <c r="BI521" s="21"/>
      <c r="BJ521" s="21"/>
    </row>
    <row r="522" spans="1:62" ht="15.75" customHeight="1">
      <c r="A522" s="3"/>
      <c r="B522" s="3"/>
      <c r="C522" s="3"/>
      <c r="D522" s="3"/>
      <c r="E522" s="3"/>
      <c r="F522" s="3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1"/>
      <c r="BJ522" s="21"/>
    </row>
    <row r="523" spans="1:62" ht="15.75" customHeight="1">
      <c r="A523" s="3"/>
      <c r="B523" s="3"/>
      <c r="C523" s="3"/>
      <c r="D523" s="3"/>
      <c r="E523" s="3"/>
      <c r="F523" s="3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20"/>
      <c r="AZ523" s="20"/>
      <c r="BA523" s="20"/>
      <c r="BB523" s="20"/>
      <c r="BC523" s="20"/>
      <c r="BD523" s="20"/>
      <c r="BE523" s="20"/>
      <c r="BF523" s="20"/>
      <c r="BG523" s="20"/>
      <c r="BH523" s="20"/>
      <c r="BI523" s="21"/>
      <c r="BJ523" s="21"/>
    </row>
    <row r="524" spans="1:62" ht="15.75" customHeight="1">
      <c r="A524" s="3"/>
      <c r="B524" s="3"/>
      <c r="C524" s="3"/>
      <c r="D524" s="3"/>
      <c r="E524" s="3"/>
      <c r="F524" s="3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20"/>
      <c r="AZ524" s="20"/>
      <c r="BA524" s="20"/>
      <c r="BB524" s="20"/>
      <c r="BC524" s="20"/>
      <c r="BD524" s="20"/>
      <c r="BE524" s="20"/>
      <c r="BF524" s="20"/>
      <c r="BG524" s="20"/>
      <c r="BH524" s="20"/>
      <c r="BI524" s="21"/>
      <c r="BJ524" s="21"/>
    </row>
    <row r="525" spans="1:62" ht="15.75" customHeight="1">
      <c r="A525" s="3"/>
      <c r="B525" s="3"/>
      <c r="C525" s="3"/>
      <c r="D525" s="3"/>
      <c r="E525" s="3"/>
      <c r="F525" s="3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20"/>
      <c r="AZ525" s="20"/>
      <c r="BA525" s="20"/>
      <c r="BB525" s="20"/>
      <c r="BC525" s="20"/>
      <c r="BD525" s="20"/>
      <c r="BE525" s="20"/>
      <c r="BF525" s="20"/>
      <c r="BG525" s="20"/>
      <c r="BH525" s="20"/>
      <c r="BI525" s="21"/>
      <c r="BJ525" s="21"/>
    </row>
    <row r="526" spans="1:62" ht="15.75" customHeight="1">
      <c r="A526" s="3"/>
      <c r="B526" s="3"/>
      <c r="C526" s="3"/>
      <c r="D526" s="3"/>
      <c r="E526" s="3"/>
      <c r="F526" s="3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20"/>
      <c r="AZ526" s="20"/>
      <c r="BA526" s="20"/>
      <c r="BB526" s="20"/>
      <c r="BC526" s="20"/>
      <c r="BD526" s="20"/>
      <c r="BE526" s="20"/>
      <c r="BF526" s="20"/>
      <c r="BG526" s="20"/>
      <c r="BH526" s="20"/>
      <c r="BI526" s="21"/>
      <c r="BJ526" s="21"/>
    </row>
    <row r="527" spans="1:62" ht="15.75" customHeight="1">
      <c r="A527" s="3"/>
      <c r="B527" s="3"/>
      <c r="C527" s="3"/>
      <c r="D527" s="3"/>
      <c r="E527" s="3"/>
      <c r="F527" s="3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20"/>
      <c r="AZ527" s="20"/>
      <c r="BA527" s="20"/>
      <c r="BB527" s="20"/>
      <c r="BC527" s="20"/>
      <c r="BD527" s="20"/>
      <c r="BE527" s="20"/>
      <c r="BF527" s="20"/>
      <c r="BG527" s="20"/>
      <c r="BH527" s="20"/>
      <c r="BI527" s="21"/>
      <c r="BJ527" s="21"/>
    </row>
    <row r="528" spans="1:62" ht="15.75" customHeight="1">
      <c r="A528" s="3"/>
      <c r="B528" s="3"/>
      <c r="C528" s="3"/>
      <c r="D528" s="3"/>
      <c r="E528" s="3"/>
      <c r="F528" s="3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20"/>
      <c r="AZ528" s="20"/>
      <c r="BA528" s="20"/>
      <c r="BB528" s="20"/>
      <c r="BC528" s="20"/>
      <c r="BD528" s="20"/>
      <c r="BE528" s="20"/>
      <c r="BF528" s="20"/>
      <c r="BG528" s="20"/>
      <c r="BH528" s="20"/>
      <c r="BI528" s="21"/>
      <c r="BJ528" s="21"/>
    </row>
    <row r="529" spans="1:62" ht="15.75" customHeight="1">
      <c r="A529" s="3"/>
      <c r="B529" s="3"/>
      <c r="C529" s="3"/>
      <c r="D529" s="3"/>
      <c r="E529" s="3"/>
      <c r="F529" s="3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20"/>
      <c r="AZ529" s="20"/>
      <c r="BA529" s="20"/>
      <c r="BB529" s="20"/>
      <c r="BC529" s="20"/>
      <c r="BD529" s="20"/>
      <c r="BE529" s="20"/>
      <c r="BF529" s="20"/>
      <c r="BG529" s="20"/>
      <c r="BH529" s="20"/>
      <c r="BI529" s="21"/>
      <c r="BJ529" s="21"/>
    </row>
    <row r="530" spans="1:62" ht="15.75" customHeight="1">
      <c r="A530" s="3"/>
      <c r="B530" s="3"/>
      <c r="C530" s="3"/>
      <c r="D530" s="3"/>
      <c r="E530" s="3"/>
      <c r="F530" s="3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20"/>
      <c r="AZ530" s="20"/>
      <c r="BA530" s="20"/>
      <c r="BB530" s="20"/>
      <c r="BC530" s="20"/>
      <c r="BD530" s="20"/>
      <c r="BE530" s="20"/>
      <c r="BF530" s="20"/>
      <c r="BG530" s="20"/>
      <c r="BH530" s="20"/>
      <c r="BI530" s="21"/>
      <c r="BJ530" s="21"/>
    </row>
    <row r="531" spans="1:62" ht="15.75" customHeight="1">
      <c r="A531" s="3"/>
      <c r="B531" s="3"/>
      <c r="C531" s="3"/>
      <c r="D531" s="3"/>
      <c r="E531" s="3"/>
      <c r="F531" s="3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20"/>
      <c r="AZ531" s="20"/>
      <c r="BA531" s="20"/>
      <c r="BB531" s="20"/>
      <c r="BC531" s="20"/>
      <c r="BD531" s="20"/>
      <c r="BE531" s="20"/>
      <c r="BF531" s="20"/>
      <c r="BG531" s="20"/>
      <c r="BH531" s="20"/>
      <c r="BI531" s="21"/>
      <c r="BJ531" s="21"/>
    </row>
    <row r="532" spans="1:62" ht="15.75" customHeight="1">
      <c r="A532" s="3"/>
      <c r="B532" s="3"/>
      <c r="C532" s="3"/>
      <c r="D532" s="3"/>
      <c r="E532" s="3"/>
      <c r="F532" s="3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20"/>
      <c r="AZ532" s="20"/>
      <c r="BA532" s="20"/>
      <c r="BB532" s="20"/>
      <c r="BC532" s="20"/>
      <c r="BD532" s="20"/>
      <c r="BE532" s="20"/>
      <c r="BF532" s="20"/>
      <c r="BG532" s="20"/>
      <c r="BH532" s="20"/>
      <c r="BI532" s="21"/>
      <c r="BJ532" s="21"/>
    </row>
    <row r="533" spans="1:62" ht="15.75" customHeight="1">
      <c r="A533" s="3"/>
      <c r="B533" s="3"/>
      <c r="C533" s="3"/>
      <c r="D533" s="3"/>
      <c r="E533" s="3"/>
      <c r="F533" s="3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1"/>
      <c r="BJ533" s="21"/>
    </row>
    <row r="534" spans="1:62" ht="15.75" customHeight="1">
      <c r="A534" s="3"/>
      <c r="B534" s="3"/>
      <c r="C534" s="3"/>
      <c r="D534" s="3"/>
      <c r="E534" s="3"/>
      <c r="F534" s="3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20"/>
      <c r="AZ534" s="20"/>
      <c r="BA534" s="20"/>
      <c r="BB534" s="20"/>
      <c r="BC534" s="20"/>
      <c r="BD534" s="20"/>
      <c r="BE534" s="20"/>
      <c r="BF534" s="20"/>
      <c r="BG534" s="20"/>
      <c r="BH534" s="20"/>
      <c r="BI534" s="21"/>
      <c r="BJ534" s="21"/>
    </row>
    <row r="535" spans="1:62" ht="15.75" customHeight="1">
      <c r="A535" s="3"/>
      <c r="B535" s="3"/>
      <c r="C535" s="3"/>
      <c r="D535" s="3"/>
      <c r="E535" s="3"/>
      <c r="F535" s="3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20"/>
      <c r="AZ535" s="20"/>
      <c r="BA535" s="20"/>
      <c r="BB535" s="20"/>
      <c r="BC535" s="20"/>
      <c r="BD535" s="20"/>
      <c r="BE535" s="20"/>
      <c r="BF535" s="20"/>
      <c r="BG535" s="20"/>
      <c r="BH535" s="20"/>
      <c r="BI535" s="21"/>
      <c r="BJ535" s="21"/>
    </row>
    <row r="536" spans="1:62" ht="15.75" customHeight="1">
      <c r="A536" s="3"/>
      <c r="B536" s="3"/>
      <c r="C536" s="3"/>
      <c r="D536" s="3"/>
      <c r="E536" s="3"/>
      <c r="F536" s="3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20"/>
      <c r="AZ536" s="20"/>
      <c r="BA536" s="20"/>
      <c r="BB536" s="20"/>
      <c r="BC536" s="20"/>
      <c r="BD536" s="20"/>
      <c r="BE536" s="20"/>
      <c r="BF536" s="20"/>
      <c r="BG536" s="20"/>
      <c r="BH536" s="20"/>
      <c r="BI536" s="21"/>
      <c r="BJ536" s="21"/>
    </row>
    <row r="537" spans="1:62" ht="15.75" customHeight="1">
      <c r="A537" s="3"/>
      <c r="B537" s="3"/>
      <c r="C537" s="3"/>
      <c r="D537" s="3"/>
      <c r="E537" s="3"/>
      <c r="F537" s="3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20"/>
      <c r="AZ537" s="20"/>
      <c r="BA537" s="20"/>
      <c r="BB537" s="20"/>
      <c r="BC537" s="20"/>
      <c r="BD537" s="20"/>
      <c r="BE537" s="20"/>
      <c r="BF537" s="20"/>
      <c r="BG537" s="20"/>
      <c r="BH537" s="20"/>
      <c r="BI537" s="21"/>
      <c r="BJ537" s="21"/>
    </row>
    <row r="538" spans="1:62" ht="15.75" customHeight="1">
      <c r="A538" s="3"/>
      <c r="B538" s="3"/>
      <c r="C538" s="3"/>
      <c r="D538" s="3"/>
      <c r="E538" s="3"/>
      <c r="F538" s="3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20"/>
      <c r="AZ538" s="20"/>
      <c r="BA538" s="20"/>
      <c r="BB538" s="20"/>
      <c r="BC538" s="20"/>
      <c r="BD538" s="20"/>
      <c r="BE538" s="20"/>
      <c r="BF538" s="20"/>
      <c r="BG538" s="20"/>
      <c r="BH538" s="20"/>
      <c r="BI538" s="21"/>
      <c r="BJ538" s="21"/>
    </row>
    <row r="539" spans="1:62" ht="15.75" customHeight="1">
      <c r="A539" s="3"/>
      <c r="B539" s="3"/>
      <c r="C539" s="3"/>
      <c r="D539" s="3"/>
      <c r="E539" s="3"/>
      <c r="F539" s="3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20"/>
      <c r="AZ539" s="20"/>
      <c r="BA539" s="20"/>
      <c r="BB539" s="20"/>
      <c r="BC539" s="20"/>
      <c r="BD539" s="20"/>
      <c r="BE539" s="20"/>
      <c r="BF539" s="20"/>
      <c r="BG539" s="20"/>
      <c r="BH539" s="20"/>
      <c r="BI539" s="21"/>
      <c r="BJ539" s="21"/>
    </row>
    <row r="540" spans="1:62" ht="15.75" customHeight="1">
      <c r="A540" s="3"/>
      <c r="B540" s="3"/>
      <c r="C540" s="3"/>
      <c r="D540" s="3"/>
      <c r="E540" s="3"/>
      <c r="F540" s="3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20"/>
      <c r="AZ540" s="20"/>
      <c r="BA540" s="20"/>
      <c r="BB540" s="20"/>
      <c r="BC540" s="20"/>
      <c r="BD540" s="20"/>
      <c r="BE540" s="20"/>
      <c r="BF540" s="20"/>
      <c r="BG540" s="20"/>
      <c r="BH540" s="20"/>
      <c r="BI540" s="21"/>
      <c r="BJ540" s="21"/>
    </row>
    <row r="541" spans="1:62" ht="15.75" customHeight="1">
      <c r="A541" s="3"/>
      <c r="B541" s="3"/>
      <c r="C541" s="3"/>
      <c r="D541" s="3"/>
      <c r="E541" s="3"/>
      <c r="F541" s="3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20"/>
      <c r="AZ541" s="20"/>
      <c r="BA541" s="20"/>
      <c r="BB541" s="20"/>
      <c r="BC541" s="20"/>
      <c r="BD541" s="20"/>
      <c r="BE541" s="20"/>
      <c r="BF541" s="20"/>
      <c r="BG541" s="20"/>
      <c r="BH541" s="20"/>
      <c r="BI541" s="21"/>
      <c r="BJ541" s="21"/>
    </row>
    <row r="542" spans="1:62" ht="15.75" customHeight="1">
      <c r="A542" s="3"/>
      <c r="B542" s="3"/>
      <c r="C542" s="3"/>
      <c r="D542" s="3"/>
      <c r="E542" s="3"/>
      <c r="F542" s="3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20"/>
      <c r="AZ542" s="20"/>
      <c r="BA542" s="20"/>
      <c r="BB542" s="20"/>
      <c r="BC542" s="20"/>
      <c r="BD542" s="20"/>
      <c r="BE542" s="20"/>
      <c r="BF542" s="20"/>
      <c r="BG542" s="20"/>
      <c r="BH542" s="20"/>
      <c r="BI542" s="21"/>
      <c r="BJ542" s="21"/>
    </row>
    <row r="543" spans="1:62" ht="15.75" customHeight="1">
      <c r="A543" s="3"/>
      <c r="B543" s="3"/>
      <c r="C543" s="3"/>
      <c r="D543" s="3"/>
      <c r="E543" s="3"/>
      <c r="F543" s="3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20"/>
      <c r="AZ543" s="20"/>
      <c r="BA543" s="20"/>
      <c r="BB543" s="20"/>
      <c r="BC543" s="20"/>
      <c r="BD543" s="20"/>
      <c r="BE543" s="20"/>
      <c r="BF543" s="20"/>
      <c r="BG543" s="20"/>
      <c r="BH543" s="20"/>
      <c r="BI543" s="21"/>
      <c r="BJ543" s="21"/>
    </row>
    <row r="544" spans="1:62" ht="15.75" customHeight="1">
      <c r="A544" s="3"/>
      <c r="B544" s="3"/>
      <c r="C544" s="3"/>
      <c r="D544" s="3"/>
      <c r="E544" s="3"/>
      <c r="F544" s="3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20"/>
      <c r="AZ544" s="20"/>
      <c r="BA544" s="20"/>
      <c r="BB544" s="20"/>
      <c r="BC544" s="20"/>
      <c r="BD544" s="20"/>
      <c r="BE544" s="20"/>
      <c r="BF544" s="20"/>
      <c r="BG544" s="20"/>
      <c r="BH544" s="20"/>
      <c r="BI544" s="21"/>
      <c r="BJ544" s="21"/>
    </row>
    <row r="545" spans="1:62" ht="15.75" customHeight="1">
      <c r="A545" s="3"/>
      <c r="B545" s="3"/>
      <c r="C545" s="3"/>
      <c r="D545" s="3"/>
      <c r="E545" s="3"/>
      <c r="F545" s="3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20"/>
      <c r="AZ545" s="20"/>
      <c r="BA545" s="20"/>
      <c r="BB545" s="20"/>
      <c r="BC545" s="20"/>
      <c r="BD545" s="20"/>
      <c r="BE545" s="20"/>
      <c r="BF545" s="20"/>
      <c r="BG545" s="20"/>
      <c r="BH545" s="20"/>
      <c r="BI545" s="21"/>
      <c r="BJ545" s="21"/>
    </row>
    <row r="546" spans="1:62" ht="15.75" customHeight="1">
      <c r="A546" s="3"/>
      <c r="B546" s="3"/>
      <c r="C546" s="3"/>
      <c r="D546" s="3"/>
      <c r="E546" s="3"/>
      <c r="F546" s="3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1"/>
      <c r="BJ546" s="21"/>
    </row>
    <row r="547" spans="1:62" ht="15.75" customHeight="1">
      <c r="A547" s="3"/>
      <c r="B547" s="3"/>
      <c r="C547" s="3"/>
      <c r="D547" s="3"/>
      <c r="E547" s="3"/>
      <c r="F547" s="3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20"/>
      <c r="AZ547" s="20"/>
      <c r="BA547" s="20"/>
      <c r="BB547" s="20"/>
      <c r="BC547" s="20"/>
      <c r="BD547" s="20"/>
      <c r="BE547" s="20"/>
      <c r="BF547" s="20"/>
      <c r="BG547" s="20"/>
      <c r="BH547" s="20"/>
      <c r="BI547" s="21"/>
      <c r="BJ547" s="21"/>
    </row>
    <row r="548" spans="1:62" ht="15.75" customHeight="1">
      <c r="A548" s="3"/>
      <c r="B548" s="3"/>
      <c r="C548" s="3"/>
      <c r="D548" s="3"/>
      <c r="E548" s="3"/>
      <c r="F548" s="3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20"/>
      <c r="AZ548" s="20"/>
      <c r="BA548" s="20"/>
      <c r="BB548" s="20"/>
      <c r="BC548" s="20"/>
      <c r="BD548" s="20"/>
      <c r="BE548" s="20"/>
      <c r="BF548" s="20"/>
      <c r="BG548" s="20"/>
      <c r="BH548" s="20"/>
      <c r="BI548" s="21"/>
      <c r="BJ548" s="21"/>
    </row>
    <row r="549" spans="1:62" ht="15.75" customHeight="1">
      <c r="A549" s="3"/>
      <c r="B549" s="3"/>
      <c r="C549" s="3"/>
      <c r="D549" s="3"/>
      <c r="E549" s="3"/>
      <c r="F549" s="3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20"/>
      <c r="AZ549" s="20"/>
      <c r="BA549" s="20"/>
      <c r="BB549" s="20"/>
      <c r="BC549" s="20"/>
      <c r="BD549" s="20"/>
      <c r="BE549" s="20"/>
      <c r="BF549" s="20"/>
      <c r="BG549" s="20"/>
      <c r="BH549" s="20"/>
      <c r="BI549" s="21"/>
      <c r="BJ549" s="21"/>
    </row>
    <row r="550" spans="1:62" ht="15.75" customHeight="1">
      <c r="A550" s="3"/>
      <c r="B550" s="3"/>
      <c r="C550" s="3"/>
      <c r="D550" s="3"/>
      <c r="E550" s="3"/>
      <c r="F550" s="3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20"/>
      <c r="AZ550" s="20"/>
      <c r="BA550" s="20"/>
      <c r="BB550" s="20"/>
      <c r="BC550" s="20"/>
      <c r="BD550" s="20"/>
      <c r="BE550" s="20"/>
      <c r="BF550" s="20"/>
      <c r="BG550" s="20"/>
      <c r="BH550" s="20"/>
      <c r="BI550" s="21"/>
      <c r="BJ550" s="21"/>
    </row>
    <row r="551" spans="1:62" ht="15.75" customHeight="1">
      <c r="A551" s="3"/>
      <c r="B551" s="3"/>
      <c r="C551" s="3"/>
      <c r="D551" s="3"/>
      <c r="E551" s="3"/>
      <c r="F551" s="3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20"/>
      <c r="AZ551" s="20"/>
      <c r="BA551" s="20"/>
      <c r="BB551" s="20"/>
      <c r="BC551" s="20"/>
      <c r="BD551" s="20"/>
      <c r="BE551" s="20"/>
      <c r="BF551" s="20"/>
      <c r="BG551" s="20"/>
      <c r="BH551" s="20"/>
      <c r="BI551" s="21"/>
      <c r="BJ551" s="21"/>
    </row>
    <row r="552" spans="1:62" ht="15.75" customHeight="1">
      <c r="A552" s="3"/>
      <c r="B552" s="3"/>
      <c r="C552" s="3"/>
      <c r="D552" s="3"/>
      <c r="E552" s="3"/>
      <c r="F552" s="3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20"/>
      <c r="AZ552" s="20"/>
      <c r="BA552" s="20"/>
      <c r="BB552" s="20"/>
      <c r="BC552" s="20"/>
      <c r="BD552" s="20"/>
      <c r="BE552" s="20"/>
      <c r="BF552" s="20"/>
      <c r="BG552" s="20"/>
      <c r="BH552" s="20"/>
      <c r="BI552" s="21"/>
      <c r="BJ552" s="21"/>
    </row>
    <row r="553" spans="1:62" ht="15.75" customHeight="1">
      <c r="A553" s="3"/>
      <c r="B553" s="3"/>
      <c r="C553" s="3"/>
      <c r="D553" s="3"/>
      <c r="E553" s="3"/>
      <c r="F553" s="3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20"/>
      <c r="AZ553" s="20"/>
      <c r="BA553" s="20"/>
      <c r="BB553" s="20"/>
      <c r="BC553" s="20"/>
      <c r="BD553" s="20"/>
      <c r="BE553" s="20"/>
      <c r="BF553" s="20"/>
      <c r="BG553" s="20"/>
      <c r="BH553" s="20"/>
      <c r="BI553" s="21"/>
      <c r="BJ553" s="21"/>
    </row>
    <row r="554" spans="1:62" ht="15.75" customHeight="1">
      <c r="A554" s="3"/>
      <c r="B554" s="3"/>
      <c r="C554" s="3"/>
      <c r="D554" s="3"/>
      <c r="E554" s="3"/>
      <c r="F554" s="3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20"/>
      <c r="AZ554" s="20"/>
      <c r="BA554" s="20"/>
      <c r="BB554" s="20"/>
      <c r="BC554" s="20"/>
      <c r="BD554" s="20"/>
      <c r="BE554" s="20"/>
      <c r="BF554" s="20"/>
      <c r="BG554" s="20"/>
      <c r="BH554" s="20"/>
      <c r="BI554" s="21"/>
      <c r="BJ554" s="21"/>
    </row>
    <row r="555" spans="1:62" ht="15.75" customHeight="1">
      <c r="A555" s="3"/>
      <c r="B555" s="3"/>
      <c r="C555" s="3"/>
      <c r="D555" s="3"/>
      <c r="E555" s="3"/>
      <c r="F555" s="3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20"/>
      <c r="AZ555" s="20"/>
      <c r="BA555" s="20"/>
      <c r="BB555" s="20"/>
      <c r="BC555" s="20"/>
      <c r="BD555" s="20"/>
      <c r="BE555" s="20"/>
      <c r="BF555" s="20"/>
      <c r="BG555" s="20"/>
      <c r="BH555" s="20"/>
      <c r="BI555" s="21"/>
      <c r="BJ555" s="21"/>
    </row>
    <row r="556" spans="1:62" ht="15.75" customHeight="1">
      <c r="A556" s="3"/>
      <c r="B556" s="3"/>
      <c r="C556" s="3"/>
      <c r="D556" s="3"/>
      <c r="E556" s="3"/>
      <c r="F556" s="3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20"/>
      <c r="AZ556" s="20"/>
      <c r="BA556" s="20"/>
      <c r="BB556" s="20"/>
      <c r="BC556" s="20"/>
      <c r="BD556" s="20"/>
      <c r="BE556" s="20"/>
      <c r="BF556" s="20"/>
      <c r="BG556" s="20"/>
      <c r="BH556" s="20"/>
      <c r="BI556" s="21"/>
      <c r="BJ556" s="21"/>
    </row>
    <row r="557" spans="1:62" ht="15.75" customHeight="1">
      <c r="A557" s="3"/>
      <c r="B557" s="3"/>
      <c r="C557" s="3"/>
      <c r="D557" s="3"/>
      <c r="E557" s="3"/>
      <c r="F557" s="3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20"/>
      <c r="AZ557" s="20"/>
      <c r="BA557" s="20"/>
      <c r="BB557" s="20"/>
      <c r="BC557" s="20"/>
      <c r="BD557" s="20"/>
      <c r="BE557" s="20"/>
      <c r="BF557" s="20"/>
      <c r="BG557" s="20"/>
      <c r="BH557" s="20"/>
      <c r="BI557" s="21"/>
      <c r="BJ557" s="21"/>
    </row>
    <row r="558" spans="1:62" ht="15.75" customHeight="1">
      <c r="A558" s="3"/>
      <c r="B558" s="3"/>
      <c r="C558" s="3"/>
      <c r="D558" s="3"/>
      <c r="E558" s="3"/>
      <c r="F558" s="3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20"/>
      <c r="AZ558" s="20"/>
      <c r="BA558" s="20"/>
      <c r="BB558" s="20"/>
      <c r="BC558" s="20"/>
      <c r="BD558" s="20"/>
      <c r="BE558" s="20"/>
      <c r="BF558" s="20"/>
      <c r="BG558" s="20"/>
      <c r="BH558" s="20"/>
      <c r="BI558" s="21"/>
      <c r="BJ558" s="21"/>
    </row>
    <row r="559" spans="1:62" ht="15.75" customHeight="1">
      <c r="A559" s="3"/>
      <c r="B559" s="3"/>
      <c r="C559" s="3"/>
      <c r="D559" s="3"/>
      <c r="E559" s="3"/>
      <c r="F559" s="3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20"/>
      <c r="AZ559" s="20"/>
      <c r="BA559" s="20"/>
      <c r="BB559" s="20"/>
      <c r="BC559" s="20"/>
      <c r="BD559" s="20"/>
      <c r="BE559" s="20"/>
      <c r="BF559" s="20"/>
      <c r="BG559" s="20"/>
      <c r="BH559" s="20"/>
      <c r="BI559" s="21"/>
      <c r="BJ559" s="21"/>
    </row>
    <row r="560" spans="1:62" ht="15.75" customHeight="1">
      <c r="A560" s="3"/>
      <c r="B560" s="3"/>
      <c r="C560" s="3"/>
      <c r="D560" s="3"/>
      <c r="E560" s="3"/>
      <c r="F560" s="3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20"/>
      <c r="AZ560" s="20"/>
      <c r="BA560" s="20"/>
      <c r="BB560" s="20"/>
      <c r="BC560" s="20"/>
      <c r="BD560" s="20"/>
      <c r="BE560" s="20"/>
      <c r="BF560" s="20"/>
      <c r="BG560" s="20"/>
      <c r="BH560" s="20"/>
      <c r="BI560" s="21"/>
      <c r="BJ560" s="21"/>
    </row>
    <row r="561" spans="1:62" ht="15.75" customHeight="1">
      <c r="A561" s="3"/>
      <c r="B561" s="3"/>
      <c r="C561" s="3"/>
      <c r="D561" s="3"/>
      <c r="E561" s="3"/>
      <c r="F561" s="3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20"/>
      <c r="AZ561" s="20"/>
      <c r="BA561" s="20"/>
      <c r="BB561" s="20"/>
      <c r="BC561" s="20"/>
      <c r="BD561" s="20"/>
      <c r="BE561" s="20"/>
      <c r="BF561" s="20"/>
      <c r="BG561" s="20"/>
      <c r="BH561" s="20"/>
      <c r="BI561" s="21"/>
      <c r="BJ561" s="21"/>
    </row>
    <row r="562" spans="1:62" ht="15.75" customHeight="1">
      <c r="A562" s="3"/>
      <c r="B562" s="3"/>
      <c r="C562" s="3"/>
      <c r="D562" s="3"/>
      <c r="E562" s="3"/>
      <c r="F562" s="3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20"/>
      <c r="AZ562" s="20"/>
      <c r="BA562" s="20"/>
      <c r="BB562" s="20"/>
      <c r="BC562" s="20"/>
      <c r="BD562" s="20"/>
      <c r="BE562" s="20"/>
      <c r="BF562" s="20"/>
      <c r="BG562" s="20"/>
      <c r="BH562" s="20"/>
      <c r="BI562" s="21"/>
      <c r="BJ562" s="21"/>
    </row>
    <row r="563" spans="1:62" ht="15.75" customHeight="1">
      <c r="A563" s="3"/>
      <c r="B563" s="3"/>
      <c r="C563" s="3"/>
      <c r="D563" s="3"/>
      <c r="E563" s="3"/>
      <c r="F563" s="3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20"/>
      <c r="AZ563" s="20"/>
      <c r="BA563" s="20"/>
      <c r="BB563" s="20"/>
      <c r="BC563" s="20"/>
      <c r="BD563" s="20"/>
      <c r="BE563" s="20"/>
      <c r="BF563" s="20"/>
      <c r="BG563" s="20"/>
      <c r="BH563" s="20"/>
      <c r="BI563" s="21"/>
      <c r="BJ563" s="21"/>
    </row>
    <row r="564" spans="1:62" ht="15.75" customHeight="1">
      <c r="A564" s="3"/>
      <c r="B564" s="3"/>
      <c r="C564" s="3"/>
      <c r="D564" s="3"/>
      <c r="E564" s="3"/>
      <c r="F564" s="3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20"/>
      <c r="AZ564" s="20"/>
      <c r="BA564" s="20"/>
      <c r="BB564" s="20"/>
      <c r="BC564" s="20"/>
      <c r="BD564" s="20"/>
      <c r="BE564" s="20"/>
      <c r="BF564" s="20"/>
      <c r="BG564" s="20"/>
      <c r="BH564" s="20"/>
      <c r="BI564" s="21"/>
      <c r="BJ564" s="21"/>
    </row>
    <row r="565" spans="1:62" ht="15.75" customHeight="1">
      <c r="A565" s="3"/>
      <c r="B565" s="3"/>
      <c r="C565" s="3"/>
      <c r="D565" s="3"/>
      <c r="E565" s="3"/>
      <c r="F565" s="3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20"/>
      <c r="AZ565" s="20"/>
      <c r="BA565" s="20"/>
      <c r="BB565" s="20"/>
      <c r="BC565" s="20"/>
      <c r="BD565" s="20"/>
      <c r="BE565" s="20"/>
      <c r="BF565" s="20"/>
      <c r="BG565" s="20"/>
      <c r="BH565" s="20"/>
      <c r="BI565" s="21"/>
      <c r="BJ565" s="21"/>
    </row>
    <row r="566" spans="1:62" ht="15.75" customHeight="1">
      <c r="A566" s="3"/>
      <c r="B566" s="3"/>
      <c r="C566" s="3"/>
      <c r="D566" s="3"/>
      <c r="E566" s="3"/>
      <c r="F566" s="3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20"/>
      <c r="AZ566" s="20"/>
      <c r="BA566" s="20"/>
      <c r="BB566" s="20"/>
      <c r="BC566" s="20"/>
      <c r="BD566" s="20"/>
      <c r="BE566" s="20"/>
      <c r="BF566" s="20"/>
      <c r="BG566" s="20"/>
      <c r="BH566" s="20"/>
      <c r="BI566" s="21"/>
      <c r="BJ566" s="21"/>
    </row>
    <row r="567" spans="1:62" ht="15.75" customHeight="1">
      <c r="A567" s="3"/>
      <c r="B567" s="3"/>
      <c r="C567" s="3"/>
      <c r="D567" s="3"/>
      <c r="E567" s="3"/>
      <c r="F567" s="3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20"/>
      <c r="AZ567" s="20"/>
      <c r="BA567" s="20"/>
      <c r="BB567" s="20"/>
      <c r="BC567" s="20"/>
      <c r="BD567" s="20"/>
      <c r="BE567" s="20"/>
      <c r="BF567" s="20"/>
      <c r="BG567" s="20"/>
      <c r="BH567" s="20"/>
      <c r="BI567" s="21"/>
      <c r="BJ567" s="21"/>
    </row>
    <row r="568" spans="1:62" ht="15.75" customHeight="1">
      <c r="A568" s="3"/>
      <c r="B568" s="3"/>
      <c r="C568" s="3"/>
      <c r="D568" s="3"/>
      <c r="E568" s="3"/>
      <c r="F568" s="3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20"/>
      <c r="AZ568" s="20"/>
      <c r="BA568" s="20"/>
      <c r="BB568" s="20"/>
      <c r="BC568" s="20"/>
      <c r="BD568" s="20"/>
      <c r="BE568" s="20"/>
      <c r="BF568" s="20"/>
      <c r="BG568" s="20"/>
      <c r="BH568" s="20"/>
      <c r="BI568" s="21"/>
      <c r="BJ568" s="21"/>
    </row>
    <row r="569" spans="1:62" ht="15.75" customHeight="1">
      <c r="A569" s="3"/>
      <c r="B569" s="3"/>
      <c r="C569" s="3"/>
      <c r="D569" s="3"/>
      <c r="E569" s="3"/>
      <c r="F569" s="3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20"/>
      <c r="AZ569" s="20"/>
      <c r="BA569" s="20"/>
      <c r="BB569" s="20"/>
      <c r="BC569" s="20"/>
      <c r="BD569" s="20"/>
      <c r="BE569" s="20"/>
      <c r="BF569" s="20"/>
      <c r="BG569" s="20"/>
      <c r="BH569" s="20"/>
      <c r="BI569" s="21"/>
      <c r="BJ569" s="21"/>
    </row>
    <row r="570" spans="1:62" ht="15.75" customHeight="1">
      <c r="A570" s="3"/>
      <c r="B570" s="3"/>
      <c r="C570" s="3"/>
      <c r="D570" s="3"/>
      <c r="E570" s="3"/>
      <c r="F570" s="3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20"/>
      <c r="AZ570" s="20"/>
      <c r="BA570" s="20"/>
      <c r="BB570" s="20"/>
      <c r="BC570" s="20"/>
      <c r="BD570" s="20"/>
      <c r="BE570" s="20"/>
      <c r="BF570" s="20"/>
      <c r="BG570" s="20"/>
      <c r="BH570" s="20"/>
      <c r="BI570" s="21"/>
      <c r="BJ570" s="21"/>
    </row>
    <row r="571" spans="1:62" ht="15.75" customHeight="1">
      <c r="A571" s="3"/>
      <c r="B571" s="3"/>
      <c r="C571" s="3"/>
      <c r="D571" s="3"/>
      <c r="E571" s="3"/>
      <c r="F571" s="3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20"/>
      <c r="AZ571" s="20"/>
      <c r="BA571" s="20"/>
      <c r="BB571" s="20"/>
      <c r="BC571" s="20"/>
      <c r="BD571" s="20"/>
      <c r="BE571" s="20"/>
      <c r="BF571" s="20"/>
      <c r="BG571" s="20"/>
      <c r="BH571" s="20"/>
      <c r="BI571" s="21"/>
      <c r="BJ571" s="21"/>
    </row>
    <row r="572" spans="1:62" ht="15.75" customHeight="1">
      <c r="A572" s="3"/>
      <c r="B572" s="3"/>
      <c r="C572" s="3"/>
      <c r="D572" s="3"/>
      <c r="E572" s="3"/>
      <c r="F572" s="3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20"/>
      <c r="AZ572" s="20"/>
      <c r="BA572" s="20"/>
      <c r="BB572" s="20"/>
      <c r="BC572" s="20"/>
      <c r="BD572" s="20"/>
      <c r="BE572" s="20"/>
      <c r="BF572" s="20"/>
      <c r="BG572" s="20"/>
      <c r="BH572" s="20"/>
      <c r="BI572" s="21"/>
      <c r="BJ572" s="21"/>
    </row>
    <row r="573" spans="1:62" ht="15.75" customHeight="1">
      <c r="A573" s="3"/>
      <c r="B573" s="3"/>
      <c r="C573" s="3"/>
      <c r="D573" s="3"/>
      <c r="E573" s="3"/>
      <c r="F573" s="3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20"/>
      <c r="AZ573" s="20"/>
      <c r="BA573" s="20"/>
      <c r="BB573" s="20"/>
      <c r="BC573" s="20"/>
      <c r="BD573" s="20"/>
      <c r="BE573" s="20"/>
      <c r="BF573" s="20"/>
      <c r="BG573" s="20"/>
      <c r="BH573" s="20"/>
      <c r="BI573" s="21"/>
      <c r="BJ573" s="21"/>
    </row>
    <row r="574" spans="1:62" ht="15.75" customHeight="1">
      <c r="A574" s="3"/>
      <c r="B574" s="3"/>
      <c r="C574" s="3"/>
      <c r="D574" s="3"/>
      <c r="E574" s="3"/>
      <c r="F574" s="3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20"/>
      <c r="AZ574" s="20"/>
      <c r="BA574" s="20"/>
      <c r="BB574" s="20"/>
      <c r="BC574" s="20"/>
      <c r="BD574" s="20"/>
      <c r="BE574" s="20"/>
      <c r="BF574" s="20"/>
      <c r="BG574" s="20"/>
      <c r="BH574" s="20"/>
      <c r="BI574" s="21"/>
      <c r="BJ574" s="21"/>
    </row>
    <row r="575" spans="1:62" ht="15.75" customHeight="1">
      <c r="A575" s="3"/>
      <c r="B575" s="3"/>
      <c r="C575" s="3"/>
      <c r="D575" s="3"/>
      <c r="E575" s="3"/>
      <c r="F575" s="3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20"/>
      <c r="AZ575" s="20"/>
      <c r="BA575" s="20"/>
      <c r="BB575" s="20"/>
      <c r="BC575" s="20"/>
      <c r="BD575" s="20"/>
      <c r="BE575" s="20"/>
      <c r="BF575" s="20"/>
      <c r="BG575" s="20"/>
      <c r="BH575" s="20"/>
      <c r="BI575" s="21"/>
      <c r="BJ575" s="21"/>
    </row>
    <row r="576" spans="1:62" ht="15.75" customHeight="1">
      <c r="A576" s="3"/>
      <c r="B576" s="3"/>
      <c r="C576" s="3"/>
      <c r="D576" s="3"/>
      <c r="E576" s="3"/>
      <c r="F576" s="3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20"/>
      <c r="AZ576" s="20"/>
      <c r="BA576" s="20"/>
      <c r="BB576" s="20"/>
      <c r="BC576" s="20"/>
      <c r="BD576" s="20"/>
      <c r="BE576" s="20"/>
      <c r="BF576" s="20"/>
      <c r="BG576" s="20"/>
      <c r="BH576" s="20"/>
      <c r="BI576" s="21"/>
      <c r="BJ576" s="21"/>
    </row>
    <row r="577" spans="1:62" ht="15.75" customHeight="1">
      <c r="A577" s="3"/>
      <c r="B577" s="3"/>
      <c r="C577" s="3"/>
      <c r="D577" s="3"/>
      <c r="E577" s="3"/>
      <c r="F577" s="3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20"/>
      <c r="AZ577" s="20"/>
      <c r="BA577" s="20"/>
      <c r="BB577" s="20"/>
      <c r="BC577" s="20"/>
      <c r="BD577" s="20"/>
      <c r="BE577" s="20"/>
      <c r="BF577" s="20"/>
      <c r="BG577" s="20"/>
      <c r="BH577" s="20"/>
      <c r="BI577" s="21"/>
      <c r="BJ577" s="21"/>
    </row>
    <row r="578" spans="1:62" ht="15.75" customHeight="1">
      <c r="A578" s="3"/>
      <c r="B578" s="3"/>
      <c r="C578" s="3"/>
      <c r="D578" s="3"/>
      <c r="E578" s="3"/>
      <c r="F578" s="3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20"/>
      <c r="AZ578" s="20"/>
      <c r="BA578" s="20"/>
      <c r="BB578" s="20"/>
      <c r="BC578" s="20"/>
      <c r="BD578" s="20"/>
      <c r="BE578" s="20"/>
      <c r="BF578" s="20"/>
      <c r="BG578" s="20"/>
      <c r="BH578" s="20"/>
      <c r="BI578" s="21"/>
      <c r="BJ578" s="21"/>
    </row>
    <row r="579" spans="1:62" ht="15.75" customHeight="1">
      <c r="A579" s="3"/>
      <c r="B579" s="3"/>
      <c r="C579" s="3"/>
      <c r="D579" s="3"/>
      <c r="E579" s="3"/>
      <c r="F579" s="3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20"/>
      <c r="AZ579" s="20"/>
      <c r="BA579" s="20"/>
      <c r="BB579" s="20"/>
      <c r="BC579" s="20"/>
      <c r="BD579" s="20"/>
      <c r="BE579" s="20"/>
      <c r="BF579" s="20"/>
      <c r="BG579" s="20"/>
      <c r="BH579" s="20"/>
      <c r="BI579" s="21"/>
      <c r="BJ579" s="21"/>
    </row>
    <row r="580" spans="1:62" ht="15.75" customHeight="1">
      <c r="A580" s="3"/>
      <c r="B580" s="3"/>
      <c r="C580" s="3"/>
      <c r="D580" s="3"/>
      <c r="E580" s="3"/>
      <c r="F580" s="3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20"/>
      <c r="AZ580" s="20"/>
      <c r="BA580" s="20"/>
      <c r="BB580" s="20"/>
      <c r="BC580" s="20"/>
      <c r="BD580" s="20"/>
      <c r="BE580" s="20"/>
      <c r="BF580" s="20"/>
      <c r="BG580" s="20"/>
      <c r="BH580" s="20"/>
      <c r="BI580" s="21"/>
      <c r="BJ580" s="21"/>
    </row>
    <row r="581" spans="1:62" ht="15.75" customHeight="1">
      <c r="A581" s="3"/>
      <c r="B581" s="3"/>
      <c r="C581" s="3"/>
      <c r="D581" s="3"/>
      <c r="E581" s="3"/>
      <c r="F581" s="3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20"/>
      <c r="AZ581" s="20"/>
      <c r="BA581" s="20"/>
      <c r="BB581" s="20"/>
      <c r="BC581" s="20"/>
      <c r="BD581" s="20"/>
      <c r="BE581" s="20"/>
      <c r="BF581" s="20"/>
      <c r="BG581" s="20"/>
      <c r="BH581" s="20"/>
      <c r="BI581" s="21"/>
      <c r="BJ581" s="21"/>
    </row>
    <row r="582" spans="1:62" ht="15.75" customHeight="1">
      <c r="A582" s="3"/>
      <c r="B582" s="3"/>
      <c r="C582" s="3"/>
      <c r="D582" s="3"/>
      <c r="E582" s="3"/>
      <c r="F582" s="3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20"/>
      <c r="AZ582" s="20"/>
      <c r="BA582" s="20"/>
      <c r="BB582" s="20"/>
      <c r="BC582" s="20"/>
      <c r="BD582" s="20"/>
      <c r="BE582" s="20"/>
      <c r="BF582" s="20"/>
      <c r="BG582" s="20"/>
      <c r="BH582" s="20"/>
      <c r="BI582" s="21"/>
      <c r="BJ582" s="21"/>
    </row>
    <row r="583" spans="1:62" ht="15.75" customHeight="1">
      <c r="A583" s="3"/>
      <c r="B583" s="3"/>
      <c r="C583" s="3"/>
      <c r="D583" s="3"/>
      <c r="E583" s="3"/>
      <c r="F583" s="3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20"/>
      <c r="AZ583" s="20"/>
      <c r="BA583" s="20"/>
      <c r="BB583" s="20"/>
      <c r="BC583" s="20"/>
      <c r="BD583" s="20"/>
      <c r="BE583" s="20"/>
      <c r="BF583" s="20"/>
      <c r="BG583" s="20"/>
      <c r="BH583" s="20"/>
      <c r="BI583" s="21"/>
      <c r="BJ583" s="21"/>
    </row>
    <row r="584" spans="1:62" ht="15.75" customHeight="1">
      <c r="A584" s="3"/>
      <c r="B584" s="3"/>
      <c r="C584" s="3"/>
      <c r="D584" s="3"/>
      <c r="E584" s="3"/>
      <c r="F584" s="3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20"/>
      <c r="AZ584" s="20"/>
      <c r="BA584" s="20"/>
      <c r="BB584" s="20"/>
      <c r="BC584" s="20"/>
      <c r="BD584" s="20"/>
      <c r="BE584" s="20"/>
      <c r="BF584" s="20"/>
      <c r="BG584" s="20"/>
      <c r="BH584" s="20"/>
      <c r="BI584" s="21"/>
      <c r="BJ584" s="21"/>
    </row>
    <row r="585" spans="1:62" ht="15.75" customHeight="1">
      <c r="A585" s="3"/>
      <c r="B585" s="3"/>
      <c r="C585" s="3"/>
      <c r="D585" s="3"/>
      <c r="E585" s="3"/>
      <c r="F585" s="3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1"/>
      <c r="BJ585" s="21"/>
    </row>
    <row r="586" spans="1:62" ht="15.75" customHeight="1">
      <c r="A586" s="3"/>
      <c r="B586" s="3"/>
      <c r="C586" s="3"/>
      <c r="D586" s="3"/>
      <c r="E586" s="3"/>
      <c r="F586" s="3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20"/>
      <c r="AZ586" s="20"/>
      <c r="BA586" s="20"/>
      <c r="BB586" s="20"/>
      <c r="BC586" s="20"/>
      <c r="BD586" s="20"/>
      <c r="BE586" s="20"/>
      <c r="BF586" s="20"/>
      <c r="BG586" s="20"/>
      <c r="BH586" s="20"/>
      <c r="BI586" s="21"/>
      <c r="BJ586" s="21"/>
    </row>
    <row r="587" spans="1:62" ht="15.75" customHeight="1">
      <c r="A587" s="3"/>
      <c r="B587" s="3"/>
      <c r="C587" s="3"/>
      <c r="D587" s="3"/>
      <c r="E587" s="3"/>
      <c r="F587" s="3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20"/>
      <c r="AZ587" s="20"/>
      <c r="BA587" s="20"/>
      <c r="BB587" s="20"/>
      <c r="BC587" s="20"/>
      <c r="BD587" s="20"/>
      <c r="BE587" s="20"/>
      <c r="BF587" s="20"/>
      <c r="BG587" s="20"/>
      <c r="BH587" s="20"/>
      <c r="BI587" s="21"/>
      <c r="BJ587" s="21"/>
    </row>
    <row r="588" spans="1:62" ht="15.75" customHeight="1">
      <c r="A588" s="3"/>
      <c r="B588" s="3"/>
      <c r="C588" s="3"/>
      <c r="D588" s="3"/>
      <c r="E588" s="3"/>
      <c r="F588" s="3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  <c r="AN588" s="20"/>
      <c r="AO588" s="20"/>
      <c r="AP588" s="20"/>
      <c r="AQ588" s="20"/>
      <c r="AR588" s="20"/>
      <c r="AS588" s="20"/>
      <c r="AT588" s="20"/>
      <c r="AU588" s="20"/>
      <c r="AV588" s="20"/>
      <c r="AW588" s="20"/>
      <c r="AX588" s="20"/>
      <c r="AY588" s="20"/>
      <c r="AZ588" s="20"/>
      <c r="BA588" s="20"/>
      <c r="BB588" s="20"/>
      <c r="BC588" s="20"/>
      <c r="BD588" s="20"/>
      <c r="BE588" s="20"/>
      <c r="BF588" s="20"/>
      <c r="BG588" s="20"/>
      <c r="BH588" s="20"/>
      <c r="BI588" s="21"/>
      <c r="BJ588" s="21"/>
    </row>
    <row r="589" spans="1:62" ht="15.75" customHeight="1">
      <c r="A589" s="3"/>
      <c r="B589" s="3"/>
      <c r="C589" s="3"/>
      <c r="D589" s="3"/>
      <c r="E589" s="3"/>
      <c r="F589" s="3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  <c r="AN589" s="20"/>
      <c r="AO589" s="20"/>
      <c r="AP589" s="20"/>
      <c r="AQ589" s="20"/>
      <c r="AR589" s="20"/>
      <c r="AS589" s="20"/>
      <c r="AT589" s="20"/>
      <c r="AU589" s="20"/>
      <c r="AV589" s="20"/>
      <c r="AW589" s="20"/>
      <c r="AX589" s="20"/>
      <c r="AY589" s="20"/>
      <c r="AZ589" s="20"/>
      <c r="BA589" s="20"/>
      <c r="BB589" s="20"/>
      <c r="BC589" s="20"/>
      <c r="BD589" s="20"/>
      <c r="BE589" s="20"/>
      <c r="BF589" s="20"/>
      <c r="BG589" s="20"/>
      <c r="BH589" s="20"/>
      <c r="BI589" s="21"/>
      <c r="BJ589" s="21"/>
    </row>
    <row r="590" spans="1:62" ht="15.75" customHeight="1">
      <c r="A590" s="3"/>
      <c r="B590" s="3"/>
      <c r="C590" s="3"/>
      <c r="D590" s="3"/>
      <c r="E590" s="3"/>
      <c r="F590" s="3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  <c r="AN590" s="20"/>
      <c r="AO590" s="20"/>
      <c r="AP590" s="20"/>
      <c r="AQ590" s="20"/>
      <c r="AR590" s="20"/>
      <c r="AS590" s="20"/>
      <c r="AT590" s="20"/>
      <c r="AU590" s="20"/>
      <c r="AV590" s="20"/>
      <c r="AW590" s="20"/>
      <c r="AX590" s="20"/>
      <c r="AY590" s="20"/>
      <c r="AZ590" s="20"/>
      <c r="BA590" s="20"/>
      <c r="BB590" s="20"/>
      <c r="BC590" s="20"/>
      <c r="BD590" s="20"/>
      <c r="BE590" s="20"/>
      <c r="BF590" s="20"/>
      <c r="BG590" s="20"/>
      <c r="BH590" s="20"/>
      <c r="BI590" s="21"/>
      <c r="BJ590" s="21"/>
    </row>
    <row r="591" spans="1:62" ht="15.75" customHeight="1">
      <c r="A591" s="3"/>
      <c r="B591" s="3"/>
      <c r="C591" s="3"/>
      <c r="D591" s="3"/>
      <c r="E591" s="3"/>
      <c r="F591" s="3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  <c r="AN591" s="20"/>
      <c r="AO591" s="20"/>
      <c r="AP591" s="20"/>
      <c r="AQ591" s="20"/>
      <c r="AR591" s="20"/>
      <c r="AS591" s="20"/>
      <c r="AT591" s="20"/>
      <c r="AU591" s="20"/>
      <c r="AV591" s="20"/>
      <c r="AW591" s="20"/>
      <c r="AX591" s="20"/>
      <c r="AY591" s="20"/>
      <c r="AZ591" s="20"/>
      <c r="BA591" s="20"/>
      <c r="BB591" s="20"/>
      <c r="BC591" s="20"/>
      <c r="BD591" s="20"/>
      <c r="BE591" s="20"/>
      <c r="BF591" s="20"/>
      <c r="BG591" s="20"/>
      <c r="BH591" s="20"/>
      <c r="BI591" s="21"/>
      <c r="BJ591" s="21"/>
    </row>
    <row r="592" spans="1:62" ht="15.75" customHeight="1">
      <c r="A592" s="3"/>
      <c r="B592" s="3"/>
      <c r="C592" s="3"/>
      <c r="D592" s="3"/>
      <c r="E592" s="3"/>
      <c r="F592" s="3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  <c r="AN592" s="20"/>
      <c r="AO592" s="20"/>
      <c r="AP592" s="20"/>
      <c r="AQ592" s="20"/>
      <c r="AR592" s="20"/>
      <c r="AS592" s="20"/>
      <c r="AT592" s="20"/>
      <c r="AU592" s="20"/>
      <c r="AV592" s="20"/>
      <c r="AW592" s="20"/>
      <c r="AX592" s="20"/>
      <c r="AY592" s="20"/>
      <c r="AZ592" s="20"/>
      <c r="BA592" s="20"/>
      <c r="BB592" s="20"/>
      <c r="BC592" s="20"/>
      <c r="BD592" s="20"/>
      <c r="BE592" s="20"/>
      <c r="BF592" s="20"/>
      <c r="BG592" s="20"/>
      <c r="BH592" s="20"/>
      <c r="BI592" s="21"/>
      <c r="BJ592" s="21"/>
    </row>
    <row r="593" spans="1:62" ht="15.75" customHeight="1">
      <c r="A593" s="3"/>
      <c r="B593" s="3"/>
      <c r="C593" s="3"/>
      <c r="D593" s="3"/>
      <c r="E593" s="3"/>
      <c r="F593" s="3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  <c r="AN593" s="20"/>
      <c r="AO593" s="20"/>
      <c r="AP593" s="20"/>
      <c r="AQ593" s="20"/>
      <c r="AR593" s="20"/>
      <c r="AS593" s="20"/>
      <c r="AT593" s="20"/>
      <c r="AU593" s="20"/>
      <c r="AV593" s="20"/>
      <c r="AW593" s="20"/>
      <c r="AX593" s="20"/>
      <c r="AY593" s="20"/>
      <c r="AZ593" s="20"/>
      <c r="BA593" s="20"/>
      <c r="BB593" s="20"/>
      <c r="BC593" s="20"/>
      <c r="BD593" s="20"/>
      <c r="BE593" s="20"/>
      <c r="BF593" s="20"/>
      <c r="BG593" s="20"/>
      <c r="BH593" s="20"/>
      <c r="BI593" s="21"/>
      <c r="BJ593" s="21"/>
    </row>
    <row r="594" spans="1:62" ht="15.75" customHeight="1">
      <c r="A594" s="3"/>
      <c r="B594" s="3"/>
      <c r="C594" s="3"/>
      <c r="D594" s="3"/>
      <c r="E594" s="3"/>
      <c r="F594" s="3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  <c r="AN594" s="20"/>
      <c r="AO594" s="20"/>
      <c r="AP594" s="20"/>
      <c r="AQ594" s="20"/>
      <c r="AR594" s="20"/>
      <c r="AS594" s="20"/>
      <c r="AT594" s="20"/>
      <c r="AU594" s="20"/>
      <c r="AV594" s="20"/>
      <c r="AW594" s="20"/>
      <c r="AX594" s="20"/>
      <c r="AY594" s="20"/>
      <c r="AZ594" s="20"/>
      <c r="BA594" s="20"/>
      <c r="BB594" s="20"/>
      <c r="BC594" s="20"/>
      <c r="BD594" s="20"/>
      <c r="BE594" s="20"/>
      <c r="BF594" s="20"/>
      <c r="BG594" s="20"/>
      <c r="BH594" s="20"/>
      <c r="BI594" s="21"/>
      <c r="BJ594" s="21"/>
    </row>
    <row r="595" spans="1:62" ht="15.75" customHeight="1">
      <c r="A595" s="3"/>
      <c r="B595" s="3"/>
      <c r="C595" s="3"/>
      <c r="D595" s="3"/>
      <c r="E595" s="3"/>
      <c r="F595" s="3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  <c r="AN595" s="20"/>
      <c r="AO595" s="20"/>
      <c r="AP595" s="20"/>
      <c r="AQ595" s="20"/>
      <c r="AR595" s="20"/>
      <c r="AS595" s="20"/>
      <c r="AT595" s="20"/>
      <c r="AU595" s="20"/>
      <c r="AV595" s="20"/>
      <c r="AW595" s="20"/>
      <c r="AX595" s="20"/>
      <c r="AY595" s="20"/>
      <c r="AZ595" s="20"/>
      <c r="BA595" s="20"/>
      <c r="BB595" s="20"/>
      <c r="BC595" s="20"/>
      <c r="BD595" s="20"/>
      <c r="BE595" s="20"/>
      <c r="BF595" s="20"/>
      <c r="BG595" s="20"/>
      <c r="BH595" s="20"/>
      <c r="BI595" s="21"/>
      <c r="BJ595" s="21"/>
    </row>
    <row r="596" spans="1:62" ht="15.75" customHeight="1">
      <c r="A596" s="3"/>
      <c r="B596" s="3"/>
      <c r="C596" s="3"/>
      <c r="D596" s="3"/>
      <c r="E596" s="3"/>
      <c r="F596" s="3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  <c r="AN596" s="20"/>
      <c r="AO596" s="20"/>
      <c r="AP596" s="20"/>
      <c r="AQ596" s="20"/>
      <c r="AR596" s="20"/>
      <c r="AS596" s="20"/>
      <c r="AT596" s="20"/>
      <c r="AU596" s="20"/>
      <c r="AV596" s="20"/>
      <c r="AW596" s="20"/>
      <c r="AX596" s="20"/>
      <c r="AY596" s="20"/>
      <c r="AZ596" s="20"/>
      <c r="BA596" s="20"/>
      <c r="BB596" s="20"/>
      <c r="BC596" s="20"/>
      <c r="BD596" s="20"/>
      <c r="BE596" s="20"/>
      <c r="BF596" s="20"/>
      <c r="BG596" s="20"/>
      <c r="BH596" s="20"/>
      <c r="BI596" s="21"/>
      <c r="BJ596" s="21"/>
    </row>
    <row r="597" spans="1:62" ht="15.75" customHeight="1">
      <c r="A597" s="3"/>
      <c r="B597" s="3"/>
      <c r="C597" s="3"/>
      <c r="D597" s="3"/>
      <c r="E597" s="3"/>
      <c r="F597" s="3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  <c r="AN597" s="20"/>
      <c r="AO597" s="20"/>
      <c r="AP597" s="20"/>
      <c r="AQ597" s="20"/>
      <c r="AR597" s="20"/>
      <c r="AS597" s="20"/>
      <c r="AT597" s="20"/>
      <c r="AU597" s="20"/>
      <c r="AV597" s="20"/>
      <c r="AW597" s="20"/>
      <c r="AX597" s="20"/>
      <c r="AY597" s="20"/>
      <c r="AZ597" s="20"/>
      <c r="BA597" s="20"/>
      <c r="BB597" s="20"/>
      <c r="BC597" s="20"/>
      <c r="BD597" s="20"/>
      <c r="BE597" s="20"/>
      <c r="BF597" s="20"/>
      <c r="BG597" s="20"/>
      <c r="BH597" s="20"/>
      <c r="BI597" s="21"/>
      <c r="BJ597" s="21"/>
    </row>
    <row r="598" spans="1:62" ht="15.75" customHeight="1">
      <c r="A598" s="3"/>
      <c r="B598" s="3"/>
      <c r="C598" s="3"/>
      <c r="D598" s="3"/>
      <c r="E598" s="3"/>
      <c r="F598" s="3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  <c r="AN598" s="20"/>
      <c r="AO598" s="20"/>
      <c r="AP598" s="20"/>
      <c r="AQ598" s="20"/>
      <c r="AR598" s="20"/>
      <c r="AS598" s="20"/>
      <c r="AT598" s="20"/>
      <c r="AU598" s="20"/>
      <c r="AV598" s="20"/>
      <c r="AW598" s="20"/>
      <c r="AX598" s="20"/>
      <c r="AY598" s="20"/>
      <c r="AZ598" s="20"/>
      <c r="BA598" s="20"/>
      <c r="BB598" s="20"/>
      <c r="BC598" s="20"/>
      <c r="BD598" s="20"/>
      <c r="BE598" s="20"/>
      <c r="BF598" s="20"/>
      <c r="BG598" s="20"/>
      <c r="BH598" s="20"/>
      <c r="BI598" s="21"/>
      <c r="BJ598" s="21"/>
    </row>
    <row r="599" spans="1:62" ht="15.75" customHeight="1">
      <c r="A599" s="3"/>
      <c r="B599" s="3"/>
      <c r="C599" s="3"/>
      <c r="D599" s="3"/>
      <c r="E599" s="3"/>
      <c r="F599" s="3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  <c r="AN599" s="20"/>
      <c r="AO599" s="20"/>
      <c r="AP599" s="20"/>
      <c r="AQ599" s="20"/>
      <c r="AR599" s="20"/>
      <c r="AS599" s="20"/>
      <c r="AT599" s="20"/>
      <c r="AU599" s="20"/>
      <c r="AV599" s="20"/>
      <c r="AW599" s="20"/>
      <c r="AX599" s="20"/>
      <c r="AY599" s="20"/>
      <c r="AZ599" s="20"/>
      <c r="BA599" s="20"/>
      <c r="BB599" s="20"/>
      <c r="BC599" s="20"/>
      <c r="BD599" s="20"/>
      <c r="BE599" s="20"/>
      <c r="BF599" s="20"/>
      <c r="BG599" s="20"/>
      <c r="BH599" s="20"/>
      <c r="BI599" s="21"/>
      <c r="BJ599" s="21"/>
    </row>
    <row r="600" spans="1:62" ht="15.75" customHeight="1">
      <c r="A600" s="3"/>
      <c r="B600" s="3"/>
      <c r="C600" s="3"/>
      <c r="D600" s="3"/>
      <c r="E600" s="3"/>
      <c r="F600" s="3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  <c r="AN600" s="20"/>
      <c r="AO600" s="20"/>
      <c r="AP600" s="20"/>
      <c r="AQ600" s="20"/>
      <c r="AR600" s="20"/>
      <c r="AS600" s="20"/>
      <c r="AT600" s="20"/>
      <c r="AU600" s="20"/>
      <c r="AV600" s="20"/>
      <c r="AW600" s="20"/>
      <c r="AX600" s="20"/>
      <c r="AY600" s="20"/>
      <c r="AZ600" s="20"/>
      <c r="BA600" s="20"/>
      <c r="BB600" s="20"/>
      <c r="BC600" s="20"/>
      <c r="BD600" s="20"/>
      <c r="BE600" s="20"/>
      <c r="BF600" s="20"/>
      <c r="BG600" s="20"/>
      <c r="BH600" s="20"/>
      <c r="BI600" s="21"/>
      <c r="BJ600" s="21"/>
    </row>
    <row r="601" spans="1:62" ht="15.75" customHeight="1">
      <c r="A601" s="3"/>
      <c r="B601" s="3"/>
      <c r="C601" s="3"/>
      <c r="D601" s="3"/>
      <c r="E601" s="3"/>
      <c r="F601" s="3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  <c r="AN601" s="20"/>
      <c r="AO601" s="20"/>
      <c r="AP601" s="20"/>
      <c r="AQ601" s="20"/>
      <c r="AR601" s="20"/>
      <c r="AS601" s="20"/>
      <c r="AT601" s="20"/>
      <c r="AU601" s="20"/>
      <c r="AV601" s="20"/>
      <c r="AW601" s="20"/>
      <c r="AX601" s="20"/>
      <c r="AY601" s="20"/>
      <c r="AZ601" s="20"/>
      <c r="BA601" s="20"/>
      <c r="BB601" s="20"/>
      <c r="BC601" s="20"/>
      <c r="BD601" s="20"/>
      <c r="BE601" s="20"/>
      <c r="BF601" s="20"/>
      <c r="BG601" s="20"/>
      <c r="BH601" s="20"/>
      <c r="BI601" s="21"/>
      <c r="BJ601" s="21"/>
    </row>
    <row r="602" spans="1:62" ht="15.75" customHeight="1">
      <c r="A602" s="3"/>
      <c r="B602" s="3"/>
      <c r="C602" s="3"/>
      <c r="D602" s="3"/>
      <c r="E602" s="3"/>
      <c r="F602" s="3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  <c r="AN602" s="20"/>
      <c r="AO602" s="20"/>
      <c r="AP602" s="20"/>
      <c r="AQ602" s="20"/>
      <c r="AR602" s="20"/>
      <c r="AS602" s="20"/>
      <c r="AT602" s="20"/>
      <c r="AU602" s="20"/>
      <c r="AV602" s="20"/>
      <c r="AW602" s="20"/>
      <c r="AX602" s="20"/>
      <c r="AY602" s="20"/>
      <c r="AZ602" s="20"/>
      <c r="BA602" s="20"/>
      <c r="BB602" s="20"/>
      <c r="BC602" s="20"/>
      <c r="BD602" s="20"/>
      <c r="BE602" s="20"/>
      <c r="BF602" s="20"/>
      <c r="BG602" s="20"/>
      <c r="BH602" s="20"/>
      <c r="BI602" s="21"/>
      <c r="BJ602" s="21"/>
    </row>
    <row r="603" spans="1:62" ht="15.75" customHeight="1">
      <c r="A603" s="3"/>
      <c r="B603" s="3"/>
      <c r="C603" s="3"/>
      <c r="D603" s="3"/>
      <c r="E603" s="3"/>
      <c r="F603" s="3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  <c r="AN603" s="20"/>
      <c r="AO603" s="20"/>
      <c r="AP603" s="20"/>
      <c r="AQ603" s="20"/>
      <c r="AR603" s="20"/>
      <c r="AS603" s="20"/>
      <c r="AT603" s="20"/>
      <c r="AU603" s="20"/>
      <c r="AV603" s="20"/>
      <c r="AW603" s="20"/>
      <c r="AX603" s="20"/>
      <c r="AY603" s="20"/>
      <c r="AZ603" s="20"/>
      <c r="BA603" s="20"/>
      <c r="BB603" s="20"/>
      <c r="BC603" s="20"/>
      <c r="BD603" s="20"/>
      <c r="BE603" s="20"/>
      <c r="BF603" s="20"/>
      <c r="BG603" s="20"/>
      <c r="BH603" s="20"/>
      <c r="BI603" s="21"/>
      <c r="BJ603" s="21"/>
    </row>
    <row r="604" spans="1:62" ht="15.75" customHeight="1">
      <c r="A604" s="3"/>
      <c r="B604" s="3"/>
      <c r="C604" s="3"/>
      <c r="D604" s="3"/>
      <c r="E604" s="3"/>
      <c r="F604" s="3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  <c r="AN604" s="20"/>
      <c r="AO604" s="20"/>
      <c r="AP604" s="20"/>
      <c r="AQ604" s="20"/>
      <c r="AR604" s="20"/>
      <c r="AS604" s="20"/>
      <c r="AT604" s="20"/>
      <c r="AU604" s="20"/>
      <c r="AV604" s="20"/>
      <c r="AW604" s="20"/>
      <c r="AX604" s="20"/>
      <c r="AY604" s="20"/>
      <c r="AZ604" s="20"/>
      <c r="BA604" s="20"/>
      <c r="BB604" s="20"/>
      <c r="BC604" s="20"/>
      <c r="BD604" s="20"/>
      <c r="BE604" s="20"/>
      <c r="BF604" s="20"/>
      <c r="BG604" s="20"/>
      <c r="BH604" s="20"/>
      <c r="BI604" s="21"/>
      <c r="BJ604" s="21"/>
    </row>
    <row r="605" spans="1:62" ht="15.75" customHeight="1">
      <c r="A605" s="3"/>
      <c r="B605" s="3"/>
      <c r="C605" s="3"/>
      <c r="D605" s="3"/>
      <c r="E605" s="3"/>
      <c r="F605" s="3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  <c r="AN605" s="20"/>
      <c r="AO605" s="20"/>
      <c r="AP605" s="20"/>
      <c r="AQ605" s="20"/>
      <c r="AR605" s="20"/>
      <c r="AS605" s="20"/>
      <c r="AT605" s="20"/>
      <c r="AU605" s="20"/>
      <c r="AV605" s="20"/>
      <c r="AW605" s="20"/>
      <c r="AX605" s="20"/>
      <c r="AY605" s="20"/>
      <c r="AZ605" s="20"/>
      <c r="BA605" s="20"/>
      <c r="BB605" s="20"/>
      <c r="BC605" s="20"/>
      <c r="BD605" s="20"/>
      <c r="BE605" s="20"/>
      <c r="BF605" s="20"/>
      <c r="BG605" s="20"/>
      <c r="BH605" s="20"/>
      <c r="BI605" s="21"/>
      <c r="BJ605" s="21"/>
    </row>
    <row r="606" spans="1:62" ht="15.75" customHeight="1">
      <c r="A606" s="3"/>
      <c r="B606" s="3"/>
      <c r="C606" s="3"/>
      <c r="D606" s="3"/>
      <c r="E606" s="3"/>
      <c r="F606" s="3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  <c r="AN606" s="20"/>
      <c r="AO606" s="20"/>
      <c r="AP606" s="20"/>
      <c r="AQ606" s="20"/>
      <c r="AR606" s="20"/>
      <c r="AS606" s="20"/>
      <c r="AT606" s="20"/>
      <c r="AU606" s="20"/>
      <c r="AV606" s="20"/>
      <c r="AW606" s="20"/>
      <c r="AX606" s="20"/>
      <c r="AY606" s="20"/>
      <c r="AZ606" s="20"/>
      <c r="BA606" s="20"/>
      <c r="BB606" s="20"/>
      <c r="BC606" s="20"/>
      <c r="BD606" s="20"/>
      <c r="BE606" s="20"/>
      <c r="BF606" s="20"/>
      <c r="BG606" s="20"/>
      <c r="BH606" s="20"/>
      <c r="BI606" s="21"/>
      <c r="BJ606" s="21"/>
    </row>
    <row r="607" spans="1:62" ht="15.75" customHeight="1">
      <c r="A607" s="3"/>
      <c r="B607" s="3"/>
      <c r="C607" s="3"/>
      <c r="D607" s="3"/>
      <c r="E607" s="3"/>
      <c r="F607" s="3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  <c r="AN607" s="20"/>
      <c r="AO607" s="20"/>
      <c r="AP607" s="20"/>
      <c r="AQ607" s="20"/>
      <c r="AR607" s="20"/>
      <c r="AS607" s="20"/>
      <c r="AT607" s="20"/>
      <c r="AU607" s="20"/>
      <c r="AV607" s="20"/>
      <c r="AW607" s="20"/>
      <c r="AX607" s="20"/>
      <c r="AY607" s="20"/>
      <c r="AZ607" s="20"/>
      <c r="BA607" s="20"/>
      <c r="BB607" s="20"/>
      <c r="BC607" s="20"/>
      <c r="BD607" s="20"/>
      <c r="BE607" s="20"/>
      <c r="BF607" s="20"/>
      <c r="BG607" s="20"/>
      <c r="BH607" s="20"/>
      <c r="BI607" s="21"/>
      <c r="BJ607" s="21"/>
    </row>
    <row r="608" spans="1:62" ht="15.75" customHeight="1">
      <c r="A608" s="3"/>
      <c r="B608" s="3"/>
      <c r="C608" s="3"/>
      <c r="D608" s="3"/>
      <c r="E608" s="3"/>
      <c r="F608" s="3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  <c r="AN608" s="20"/>
      <c r="AO608" s="20"/>
      <c r="AP608" s="20"/>
      <c r="AQ608" s="20"/>
      <c r="AR608" s="20"/>
      <c r="AS608" s="20"/>
      <c r="AT608" s="20"/>
      <c r="AU608" s="20"/>
      <c r="AV608" s="20"/>
      <c r="AW608" s="20"/>
      <c r="AX608" s="20"/>
      <c r="AY608" s="20"/>
      <c r="AZ608" s="20"/>
      <c r="BA608" s="20"/>
      <c r="BB608" s="20"/>
      <c r="BC608" s="20"/>
      <c r="BD608" s="20"/>
      <c r="BE608" s="20"/>
      <c r="BF608" s="20"/>
      <c r="BG608" s="20"/>
      <c r="BH608" s="20"/>
      <c r="BI608" s="21"/>
      <c r="BJ608" s="21"/>
    </row>
    <row r="609" spans="1:62" ht="15.75" customHeight="1">
      <c r="A609" s="3"/>
      <c r="B609" s="3"/>
      <c r="C609" s="3"/>
      <c r="D609" s="3"/>
      <c r="E609" s="3"/>
      <c r="F609" s="3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  <c r="AN609" s="20"/>
      <c r="AO609" s="20"/>
      <c r="AP609" s="20"/>
      <c r="AQ609" s="20"/>
      <c r="AR609" s="20"/>
      <c r="AS609" s="20"/>
      <c r="AT609" s="20"/>
      <c r="AU609" s="20"/>
      <c r="AV609" s="20"/>
      <c r="AW609" s="20"/>
      <c r="AX609" s="20"/>
      <c r="AY609" s="20"/>
      <c r="AZ609" s="20"/>
      <c r="BA609" s="20"/>
      <c r="BB609" s="20"/>
      <c r="BC609" s="20"/>
      <c r="BD609" s="20"/>
      <c r="BE609" s="20"/>
      <c r="BF609" s="20"/>
      <c r="BG609" s="20"/>
      <c r="BH609" s="20"/>
      <c r="BI609" s="21"/>
      <c r="BJ609" s="21"/>
    </row>
    <row r="610" spans="1:62" ht="15.75" customHeight="1">
      <c r="A610" s="3"/>
      <c r="B610" s="3"/>
      <c r="C610" s="3"/>
      <c r="D610" s="3"/>
      <c r="E610" s="3"/>
      <c r="F610" s="3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  <c r="AN610" s="20"/>
      <c r="AO610" s="20"/>
      <c r="AP610" s="20"/>
      <c r="AQ610" s="20"/>
      <c r="AR610" s="20"/>
      <c r="AS610" s="20"/>
      <c r="AT610" s="20"/>
      <c r="AU610" s="20"/>
      <c r="AV610" s="20"/>
      <c r="AW610" s="20"/>
      <c r="AX610" s="20"/>
      <c r="AY610" s="20"/>
      <c r="AZ610" s="20"/>
      <c r="BA610" s="20"/>
      <c r="BB610" s="20"/>
      <c r="BC610" s="20"/>
      <c r="BD610" s="20"/>
      <c r="BE610" s="20"/>
      <c r="BF610" s="20"/>
      <c r="BG610" s="20"/>
      <c r="BH610" s="20"/>
      <c r="BI610" s="21"/>
      <c r="BJ610" s="21"/>
    </row>
    <row r="611" spans="1:62" ht="15.75" customHeight="1">
      <c r="A611" s="3"/>
      <c r="B611" s="3"/>
      <c r="C611" s="3"/>
      <c r="D611" s="3"/>
      <c r="E611" s="3"/>
      <c r="F611" s="3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  <c r="AN611" s="20"/>
      <c r="AO611" s="20"/>
      <c r="AP611" s="20"/>
      <c r="AQ611" s="20"/>
      <c r="AR611" s="20"/>
      <c r="AS611" s="20"/>
      <c r="AT611" s="20"/>
      <c r="AU611" s="20"/>
      <c r="AV611" s="20"/>
      <c r="AW611" s="20"/>
      <c r="AX611" s="20"/>
      <c r="AY611" s="20"/>
      <c r="AZ611" s="20"/>
      <c r="BA611" s="20"/>
      <c r="BB611" s="20"/>
      <c r="BC611" s="20"/>
      <c r="BD611" s="20"/>
      <c r="BE611" s="20"/>
      <c r="BF611" s="20"/>
      <c r="BG611" s="20"/>
      <c r="BH611" s="20"/>
      <c r="BI611" s="21"/>
      <c r="BJ611" s="21"/>
    </row>
    <row r="612" spans="1:62" ht="15.75" customHeight="1">
      <c r="A612" s="3"/>
      <c r="B612" s="3"/>
      <c r="C612" s="3"/>
      <c r="D612" s="3"/>
      <c r="E612" s="3"/>
      <c r="F612" s="3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  <c r="AN612" s="20"/>
      <c r="AO612" s="20"/>
      <c r="AP612" s="20"/>
      <c r="AQ612" s="20"/>
      <c r="AR612" s="20"/>
      <c r="AS612" s="20"/>
      <c r="AT612" s="20"/>
      <c r="AU612" s="20"/>
      <c r="AV612" s="20"/>
      <c r="AW612" s="20"/>
      <c r="AX612" s="20"/>
      <c r="AY612" s="20"/>
      <c r="AZ612" s="20"/>
      <c r="BA612" s="20"/>
      <c r="BB612" s="20"/>
      <c r="BC612" s="20"/>
      <c r="BD612" s="20"/>
      <c r="BE612" s="20"/>
      <c r="BF612" s="20"/>
      <c r="BG612" s="20"/>
      <c r="BH612" s="20"/>
      <c r="BI612" s="21"/>
      <c r="BJ612" s="21"/>
    </row>
    <row r="613" spans="1:62" ht="15.75" customHeight="1">
      <c r="A613" s="3"/>
      <c r="B613" s="3"/>
      <c r="C613" s="3"/>
      <c r="D613" s="3"/>
      <c r="E613" s="3"/>
      <c r="F613" s="3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  <c r="AN613" s="20"/>
      <c r="AO613" s="20"/>
      <c r="AP613" s="20"/>
      <c r="AQ613" s="20"/>
      <c r="AR613" s="20"/>
      <c r="AS613" s="20"/>
      <c r="AT613" s="20"/>
      <c r="AU613" s="20"/>
      <c r="AV613" s="20"/>
      <c r="AW613" s="20"/>
      <c r="AX613" s="20"/>
      <c r="AY613" s="20"/>
      <c r="AZ613" s="20"/>
      <c r="BA613" s="20"/>
      <c r="BB613" s="20"/>
      <c r="BC613" s="20"/>
      <c r="BD613" s="20"/>
      <c r="BE613" s="20"/>
      <c r="BF613" s="20"/>
      <c r="BG613" s="20"/>
      <c r="BH613" s="20"/>
      <c r="BI613" s="21"/>
      <c r="BJ613" s="21"/>
    </row>
    <row r="614" spans="1:62" ht="15.75" customHeight="1">
      <c r="A614" s="3"/>
      <c r="B614" s="3"/>
      <c r="C614" s="3"/>
      <c r="D614" s="3"/>
      <c r="E614" s="3"/>
      <c r="F614" s="3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  <c r="AN614" s="20"/>
      <c r="AO614" s="20"/>
      <c r="AP614" s="20"/>
      <c r="AQ614" s="20"/>
      <c r="AR614" s="20"/>
      <c r="AS614" s="20"/>
      <c r="AT614" s="20"/>
      <c r="AU614" s="20"/>
      <c r="AV614" s="20"/>
      <c r="AW614" s="20"/>
      <c r="AX614" s="20"/>
      <c r="AY614" s="20"/>
      <c r="AZ614" s="20"/>
      <c r="BA614" s="20"/>
      <c r="BB614" s="20"/>
      <c r="BC614" s="20"/>
      <c r="BD614" s="20"/>
      <c r="BE614" s="20"/>
      <c r="BF614" s="20"/>
      <c r="BG614" s="20"/>
      <c r="BH614" s="20"/>
      <c r="BI614" s="21"/>
      <c r="BJ614" s="21"/>
    </row>
    <row r="615" spans="1:62" ht="15.75" customHeight="1">
      <c r="A615" s="3"/>
      <c r="B615" s="3"/>
      <c r="C615" s="3"/>
      <c r="D615" s="3"/>
      <c r="E615" s="3"/>
      <c r="F615" s="3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  <c r="AN615" s="20"/>
      <c r="AO615" s="20"/>
      <c r="AP615" s="20"/>
      <c r="AQ615" s="20"/>
      <c r="AR615" s="20"/>
      <c r="AS615" s="20"/>
      <c r="AT615" s="20"/>
      <c r="AU615" s="20"/>
      <c r="AV615" s="20"/>
      <c r="AW615" s="20"/>
      <c r="AX615" s="20"/>
      <c r="AY615" s="20"/>
      <c r="AZ615" s="20"/>
      <c r="BA615" s="20"/>
      <c r="BB615" s="20"/>
      <c r="BC615" s="20"/>
      <c r="BD615" s="20"/>
      <c r="BE615" s="20"/>
      <c r="BF615" s="20"/>
      <c r="BG615" s="20"/>
      <c r="BH615" s="20"/>
      <c r="BI615" s="21"/>
      <c r="BJ615" s="21"/>
    </row>
    <row r="616" spans="1:62" ht="15.75" customHeight="1">
      <c r="A616" s="3"/>
      <c r="B616" s="3"/>
      <c r="C616" s="3"/>
      <c r="D616" s="3"/>
      <c r="E616" s="3"/>
      <c r="F616" s="3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  <c r="AN616" s="20"/>
      <c r="AO616" s="20"/>
      <c r="AP616" s="20"/>
      <c r="AQ616" s="20"/>
      <c r="AR616" s="20"/>
      <c r="AS616" s="20"/>
      <c r="AT616" s="20"/>
      <c r="AU616" s="20"/>
      <c r="AV616" s="20"/>
      <c r="AW616" s="20"/>
      <c r="AX616" s="20"/>
      <c r="AY616" s="20"/>
      <c r="AZ616" s="20"/>
      <c r="BA616" s="20"/>
      <c r="BB616" s="20"/>
      <c r="BC616" s="20"/>
      <c r="BD616" s="20"/>
      <c r="BE616" s="20"/>
      <c r="BF616" s="20"/>
      <c r="BG616" s="20"/>
      <c r="BH616" s="20"/>
      <c r="BI616" s="21"/>
      <c r="BJ616" s="21"/>
    </row>
    <row r="617" spans="1:62" ht="15.75" customHeight="1">
      <c r="A617" s="3"/>
      <c r="B617" s="3"/>
      <c r="C617" s="3"/>
      <c r="D617" s="3"/>
      <c r="E617" s="3"/>
      <c r="F617" s="3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  <c r="AN617" s="20"/>
      <c r="AO617" s="20"/>
      <c r="AP617" s="20"/>
      <c r="AQ617" s="20"/>
      <c r="AR617" s="20"/>
      <c r="AS617" s="20"/>
      <c r="AT617" s="20"/>
      <c r="AU617" s="20"/>
      <c r="AV617" s="20"/>
      <c r="AW617" s="20"/>
      <c r="AX617" s="20"/>
      <c r="AY617" s="20"/>
      <c r="AZ617" s="20"/>
      <c r="BA617" s="20"/>
      <c r="BB617" s="20"/>
      <c r="BC617" s="20"/>
      <c r="BD617" s="20"/>
      <c r="BE617" s="20"/>
      <c r="BF617" s="20"/>
      <c r="BG617" s="20"/>
      <c r="BH617" s="20"/>
      <c r="BI617" s="21"/>
      <c r="BJ617" s="21"/>
    </row>
    <row r="618" spans="1:62" ht="15.75" customHeight="1">
      <c r="A618" s="3"/>
      <c r="B618" s="3"/>
      <c r="C618" s="3"/>
      <c r="D618" s="3"/>
      <c r="E618" s="3"/>
      <c r="F618" s="3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  <c r="AN618" s="20"/>
      <c r="AO618" s="20"/>
      <c r="AP618" s="20"/>
      <c r="AQ618" s="20"/>
      <c r="AR618" s="20"/>
      <c r="AS618" s="20"/>
      <c r="AT618" s="20"/>
      <c r="AU618" s="20"/>
      <c r="AV618" s="20"/>
      <c r="AW618" s="20"/>
      <c r="AX618" s="20"/>
      <c r="AY618" s="20"/>
      <c r="AZ618" s="20"/>
      <c r="BA618" s="20"/>
      <c r="BB618" s="20"/>
      <c r="BC618" s="20"/>
      <c r="BD618" s="20"/>
      <c r="BE618" s="20"/>
      <c r="BF618" s="20"/>
      <c r="BG618" s="20"/>
      <c r="BH618" s="20"/>
      <c r="BI618" s="21"/>
      <c r="BJ618" s="21"/>
    </row>
    <row r="619" spans="1:62" ht="15.75" customHeight="1">
      <c r="A619" s="3"/>
      <c r="B619" s="3"/>
      <c r="C619" s="3"/>
      <c r="D619" s="3"/>
      <c r="E619" s="3"/>
      <c r="F619" s="3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1"/>
      <c r="BJ619" s="21"/>
    </row>
    <row r="620" spans="1:62" ht="15.75" customHeight="1">
      <c r="A620" s="3"/>
      <c r="B620" s="3"/>
      <c r="C620" s="3"/>
      <c r="D620" s="3"/>
      <c r="E620" s="3"/>
      <c r="F620" s="3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  <c r="AN620" s="20"/>
      <c r="AO620" s="20"/>
      <c r="AP620" s="20"/>
      <c r="AQ620" s="20"/>
      <c r="AR620" s="20"/>
      <c r="AS620" s="20"/>
      <c r="AT620" s="20"/>
      <c r="AU620" s="20"/>
      <c r="AV620" s="20"/>
      <c r="AW620" s="20"/>
      <c r="AX620" s="20"/>
      <c r="AY620" s="20"/>
      <c r="AZ620" s="20"/>
      <c r="BA620" s="20"/>
      <c r="BB620" s="20"/>
      <c r="BC620" s="20"/>
      <c r="BD620" s="20"/>
      <c r="BE620" s="20"/>
      <c r="BF620" s="20"/>
      <c r="BG620" s="20"/>
      <c r="BH620" s="20"/>
      <c r="BI620" s="21"/>
      <c r="BJ620" s="21"/>
    </row>
    <row r="621" spans="1:62" ht="15.75" customHeight="1">
      <c r="A621" s="3"/>
      <c r="B621" s="3"/>
      <c r="C621" s="3"/>
      <c r="D621" s="3"/>
      <c r="E621" s="3"/>
      <c r="F621" s="3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  <c r="AN621" s="20"/>
      <c r="AO621" s="20"/>
      <c r="AP621" s="20"/>
      <c r="AQ621" s="20"/>
      <c r="AR621" s="20"/>
      <c r="AS621" s="20"/>
      <c r="AT621" s="20"/>
      <c r="AU621" s="20"/>
      <c r="AV621" s="20"/>
      <c r="AW621" s="20"/>
      <c r="AX621" s="20"/>
      <c r="AY621" s="20"/>
      <c r="AZ621" s="20"/>
      <c r="BA621" s="20"/>
      <c r="BB621" s="20"/>
      <c r="BC621" s="20"/>
      <c r="BD621" s="20"/>
      <c r="BE621" s="20"/>
      <c r="BF621" s="20"/>
      <c r="BG621" s="20"/>
      <c r="BH621" s="20"/>
      <c r="BI621" s="21"/>
      <c r="BJ621" s="21"/>
    </row>
    <row r="622" spans="1:62" ht="15.75" customHeight="1">
      <c r="A622" s="3"/>
      <c r="B622" s="3"/>
      <c r="C622" s="3"/>
      <c r="D622" s="3"/>
      <c r="E622" s="3"/>
      <c r="F622" s="3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  <c r="AN622" s="20"/>
      <c r="AO622" s="20"/>
      <c r="AP622" s="20"/>
      <c r="AQ622" s="20"/>
      <c r="AR622" s="20"/>
      <c r="AS622" s="20"/>
      <c r="AT622" s="20"/>
      <c r="AU622" s="20"/>
      <c r="AV622" s="20"/>
      <c r="AW622" s="20"/>
      <c r="AX622" s="20"/>
      <c r="AY622" s="20"/>
      <c r="AZ622" s="20"/>
      <c r="BA622" s="20"/>
      <c r="BB622" s="20"/>
      <c r="BC622" s="20"/>
      <c r="BD622" s="20"/>
      <c r="BE622" s="20"/>
      <c r="BF622" s="20"/>
      <c r="BG622" s="20"/>
      <c r="BH622" s="20"/>
      <c r="BI622" s="21"/>
      <c r="BJ622" s="21"/>
    </row>
    <row r="623" spans="1:62" ht="15.75" customHeight="1">
      <c r="A623" s="3"/>
      <c r="B623" s="3"/>
      <c r="C623" s="3"/>
      <c r="D623" s="3"/>
      <c r="E623" s="3"/>
      <c r="F623" s="3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  <c r="AN623" s="20"/>
      <c r="AO623" s="20"/>
      <c r="AP623" s="20"/>
      <c r="AQ623" s="20"/>
      <c r="AR623" s="20"/>
      <c r="AS623" s="20"/>
      <c r="AT623" s="20"/>
      <c r="AU623" s="20"/>
      <c r="AV623" s="20"/>
      <c r="AW623" s="20"/>
      <c r="AX623" s="20"/>
      <c r="AY623" s="20"/>
      <c r="AZ623" s="20"/>
      <c r="BA623" s="20"/>
      <c r="BB623" s="20"/>
      <c r="BC623" s="20"/>
      <c r="BD623" s="20"/>
      <c r="BE623" s="20"/>
      <c r="BF623" s="20"/>
      <c r="BG623" s="20"/>
      <c r="BH623" s="20"/>
      <c r="BI623" s="21"/>
      <c r="BJ623" s="21"/>
    </row>
    <row r="624" spans="1:62" ht="15.75" customHeight="1">
      <c r="A624" s="3"/>
      <c r="B624" s="3"/>
      <c r="C624" s="3"/>
      <c r="D624" s="3"/>
      <c r="E624" s="3"/>
      <c r="F624" s="3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  <c r="AN624" s="20"/>
      <c r="AO624" s="20"/>
      <c r="AP624" s="20"/>
      <c r="AQ624" s="20"/>
      <c r="AR624" s="20"/>
      <c r="AS624" s="20"/>
      <c r="AT624" s="20"/>
      <c r="AU624" s="20"/>
      <c r="AV624" s="20"/>
      <c r="AW624" s="20"/>
      <c r="AX624" s="20"/>
      <c r="AY624" s="20"/>
      <c r="AZ624" s="20"/>
      <c r="BA624" s="20"/>
      <c r="BB624" s="20"/>
      <c r="BC624" s="20"/>
      <c r="BD624" s="20"/>
      <c r="BE624" s="20"/>
      <c r="BF624" s="20"/>
      <c r="BG624" s="20"/>
      <c r="BH624" s="20"/>
      <c r="BI624" s="21"/>
      <c r="BJ624" s="21"/>
    </row>
    <row r="625" spans="1:62" ht="15.75" customHeight="1">
      <c r="A625" s="3"/>
      <c r="B625" s="3"/>
      <c r="C625" s="3"/>
      <c r="D625" s="3"/>
      <c r="E625" s="3"/>
      <c r="F625" s="3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  <c r="AN625" s="20"/>
      <c r="AO625" s="20"/>
      <c r="AP625" s="20"/>
      <c r="AQ625" s="20"/>
      <c r="AR625" s="20"/>
      <c r="AS625" s="20"/>
      <c r="AT625" s="20"/>
      <c r="AU625" s="20"/>
      <c r="AV625" s="20"/>
      <c r="AW625" s="20"/>
      <c r="AX625" s="20"/>
      <c r="AY625" s="20"/>
      <c r="AZ625" s="20"/>
      <c r="BA625" s="20"/>
      <c r="BB625" s="20"/>
      <c r="BC625" s="20"/>
      <c r="BD625" s="20"/>
      <c r="BE625" s="20"/>
      <c r="BF625" s="20"/>
      <c r="BG625" s="20"/>
      <c r="BH625" s="20"/>
      <c r="BI625" s="21"/>
      <c r="BJ625" s="21"/>
    </row>
    <row r="626" spans="1:62" ht="15.75" customHeight="1">
      <c r="A626" s="3"/>
      <c r="B626" s="3"/>
      <c r="C626" s="3"/>
      <c r="D626" s="3"/>
      <c r="E626" s="3"/>
      <c r="F626" s="3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  <c r="AN626" s="20"/>
      <c r="AO626" s="20"/>
      <c r="AP626" s="20"/>
      <c r="AQ626" s="20"/>
      <c r="AR626" s="20"/>
      <c r="AS626" s="20"/>
      <c r="AT626" s="20"/>
      <c r="AU626" s="20"/>
      <c r="AV626" s="20"/>
      <c r="AW626" s="20"/>
      <c r="AX626" s="20"/>
      <c r="AY626" s="20"/>
      <c r="AZ626" s="20"/>
      <c r="BA626" s="20"/>
      <c r="BB626" s="20"/>
      <c r="BC626" s="20"/>
      <c r="BD626" s="20"/>
      <c r="BE626" s="20"/>
      <c r="BF626" s="20"/>
      <c r="BG626" s="20"/>
      <c r="BH626" s="20"/>
      <c r="BI626" s="21"/>
      <c r="BJ626" s="21"/>
    </row>
    <row r="627" spans="1:62" ht="15.75" customHeight="1">
      <c r="A627" s="3"/>
      <c r="B627" s="3"/>
      <c r="C627" s="3"/>
      <c r="D627" s="3"/>
      <c r="E627" s="3"/>
      <c r="F627" s="3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  <c r="AN627" s="20"/>
      <c r="AO627" s="20"/>
      <c r="AP627" s="20"/>
      <c r="AQ627" s="20"/>
      <c r="AR627" s="20"/>
      <c r="AS627" s="20"/>
      <c r="AT627" s="20"/>
      <c r="AU627" s="20"/>
      <c r="AV627" s="20"/>
      <c r="AW627" s="20"/>
      <c r="AX627" s="20"/>
      <c r="AY627" s="20"/>
      <c r="AZ627" s="20"/>
      <c r="BA627" s="20"/>
      <c r="BB627" s="20"/>
      <c r="BC627" s="20"/>
      <c r="BD627" s="20"/>
      <c r="BE627" s="20"/>
      <c r="BF627" s="20"/>
      <c r="BG627" s="20"/>
      <c r="BH627" s="20"/>
      <c r="BI627" s="21"/>
      <c r="BJ627" s="21"/>
    </row>
    <row r="628" spans="1:62" ht="15.75" customHeight="1">
      <c r="A628" s="3"/>
      <c r="B628" s="3"/>
      <c r="C628" s="3"/>
      <c r="D628" s="3"/>
      <c r="E628" s="3"/>
      <c r="F628" s="3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  <c r="AN628" s="20"/>
      <c r="AO628" s="20"/>
      <c r="AP628" s="20"/>
      <c r="AQ628" s="20"/>
      <c r="AR628" s="20"/>
      <c r="AS628" s="20"/>
      <c r="AT628" s="20"/>
      <c r="AU628" s="20"/>
      <c r="AV628" s="20"/>
      <c r="AW628" s="20"/>
      <c r="AX628" s="20"/>
      <c r="AY628" s="20"/>
      <c r="AZ628" s="20"/>
      <c r="BA628" s="20"/>
      <c r="BB628" s="20"/>
      <c r="BC628" s="20"/>
      <c r="BD628" s="20"/>
      <c r="BE628" s="20"/>
      <c r="BF628" s="20"/>
      <c r="BG628" s="20"/>
      <c r="BH628" s="20"/>
      <c r="BI628" s="21"/>
      <c r="BJ628" s="21"/>
    </row>
    <row r="629" spans="1:62" ht="15.75" customHeight="1">
      <c r="A629" s="3"/>
      <c r="B629" s="3"/>
      <c r="C629" s="3"/>
      <c r="D629" s="3"/>
      <c r="E629" s="3"/>
      <c r="F629" s="3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  <c r="AN629" s="20"/>
      <c r="AO629" s="20"/>
      <c r="AP629" s="20"/>
      <c r="AQ629" s="20"/>
      <c r="AR629" s="20"/>
      <c r="AS629" s="20"/>
      <c r="AT629" s="20"/>
      <c r="AU629" s="20"/>
      <c r="AV629" s="20"/>
      <c r="AW629" s="20"/>
      <c r="AX629" s="20"/>
      <c r="AY629" s="20"/>
      <c r="AZ629" s="20"/>
      <c r="BA629" s="20"/>
      <c r="BB629" s="20"/>
      <c r="BC629" s="20"/>
      <c r="BD629" s="20"/>
      <c r="BE629" s="20"/>
      <c r="BF629" s="20"/>
      <c r="BG629" s="20"/>
      <c r="BH629" s="20"/>
      <c r="BI629" s="21"/>
      <c r="BJ629" s="21"/>
    </row>
    <row r="630" spans="1:62" ht="15.75" customHeight="1">
      <c r="A630" s="3"/>
      <c r="B630" s="3"/>
      <c r="C630" s="3"/>
      <c r="D630" s="3"/>
      <c r="E630" s="3"/>
      <c r="F630" s="3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  <c r="AN630" s="20"/>
      <c r="AO630" s="20"/>
      <c r="AP630" s="20"/>
      <c r="AQ630" s="20"/>
      <c r="AR630" s="20"/>
      <c r="AS630" s="20"/>
      <c r="AT630" s="20"/>
      <c r="AU630" s="20"/>
      <c r="AV630" s="20"/>
      <c r="AW630" s="20"/>
      <c r="AX630" s="20"/>
      <c r="AY630" s="20"/>
      <c r="AZ630" s="20"/>
      <c r="BA630" s="20"/>
      <c r="BB630" s="20"/>
      <c r="BC630" s="20"/>
      <c r="BD630" s="20"/>
      <c r="BE630" s="20"/>
      <c r="BF630" s="20"/>
      <c r="BG630" s="20"/>
      <c r="BH630" s="20"/>
      <c r="BI630" s="21"/>
      <c r="BJ630" s="21"/>
    </row>
    <row r="631" spans="1:62" ht="15.75" customHeight="1">
      <c r="A631" s="3"/>
      <c r="B631" s="3"/>
      <c r="C631" s="3"/>
      <c r="D631" s="3"/>
      <c r="E631" s="3"/>
      <c r="F631" s="3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  <c r="AN631" s="20"/>
      <c r="AO631" s="20"/>
      <c r="AP631" s="20"/>
      <c r="AQ631" s="20"/>
      <c r="AR631" s="20"/>
      <c r="AS631" s="20"/>
      <c r="AT631" s="20"/>
      <c r="AU631" s="20"/>
      <c r="AV631" s="20"/>
      <c r="AW631" s="20"/>
      <c r="AX631" s="20"/>
      <c r="AY631" s="20"/>
      <c r="AZ631" s="20"/>
      <c r="BA631" s="20"/>
      <c r="BB631" s="20"/>
      <c r="BC631" s="20"/>
      <c r="BD631" s="20"/>
      <c r="BE631" s="20"/>
      <c r="BF631" s="20"/>
      <c r="BG631" s="20"/>
      <c r="BH631" s="20"/>
      <c r="BI631" s="21"/>
      <c r="BJ631" s="21"/>
    </row>
    <row r="632" spans="1:62" ht="15.75" customHeight="1">
      <c r="A632" s="3"/>
      <c r="B632" s="3"/>
      <c r="C632" s="3"/>
      <c r="D632" s="3"/>
      <c r="E632" s="3"/>
      <c r="F632" s="3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  <c r="AN632" s="20"/>
      <c r="AO632" s="20"/>
      <c r="AP632" s="20"/>
      <c r="AQ632" s="20"/>
      <c r="AR632" s="20"/>
      <c r="AS632" s="20"/>
      <c r="AT632" s="20"/>
      <c r="AU632" s="20"/>
      <c r="AV632" s="20"/>
      <c r="AW632" s="20"/>
      <c r="AX632" s="20"/>
      <c r="AY632" s="20"/>
      <c r="AZ632" s="20"/>
      <c r="BA632" s="20"/>
      <c r="BB632" s="20"/>
      <c r="BC632" s="20"/>
      <c r="BD632" s="20"/>
      <c r="BE632" s="20"/>
      <c r="BF632" s="20"/>
      <c r="BG632" s="20"/>
      <c r="BH632" s="20"/>
      <c r="BI632" s="21"/>
      <c r="BJ632" s="21"/>
    </row>
    <row r="633" spans="1:62" ht="15.75" customHeight="1">
      <c r="A633" s="3"/>
      <c r="B633" s="3"/>
      <c r="C633" s="3"/>
      <c r="D633" s="3"/>
      <c r="E633" s="3"/>
      <c r="F633" s="3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  <c r="AN633" s="20"/>
      <c r="AO633" s="20"/>
      <c r="AP633" s="20"/>
      <c r="AQ633" s="20"/>
      <c r="AR633" s="20"/>
      <c r="AS633" s="20"/>
      <c r="AT633" s="20"/>
      <c r="AU633" s="20"/>
      <c r="AV633" s="20"/>
      <c r="AW633" s="20"/>
      <c r="AX633" s="20"/>
      <c r="AY633" s="20"/>
      <c r="AZ633" s="20"/>
      <c r="BA633" s="20"/>
      <c r="BB633" s="20"/>
      <c r="BC633" s="20"/>
      <c r="BD633" s="20"/>
      <c r="BE633" s="20"/>
      <c r="BF633" s="20"/>
      <c r="BG633" s="20"/>
      <c r="BH633" s="20"/>
      <c r="BI633" s="21"/>
      <c r="BJ633" s="21"/>
    </row>
    <row r="634" spans="1:62" ht="15.75" customHeight="1">
      <c r="A634" s="3"/>
      <c r="B634" s="3"/>
      <c r="C634" s="3"/>
      <c r="D634" s="3"/>
      <c r="E634" s="3"/>
      <c r="F634" s="3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  <c r="AN634" s="20"/>
      <c r="AO634" s="20"/>
      <c r="AP634" s="20"/>
      <c r="AQ634" s="20"/>
      <c r="AR634" s="20"/>
      <c r="AS634" s="20"/>
      <c r="AT634" s="20"/>
      <c r="AU634" s="20"/>
      <c r="AV634" s="20"/>
      <c r="AW634" s="20"/>
      <c r="AX634" s="20"/>
      <c r="AY634" s="20"/>
      <c r="AZ634" s="20"/>
      <c r="BA634" s="20"/>
      <c r="BB634" s="20"/>
      <c r="BC634" s="20"/>
      <c r="BD634" s="20"/>
      <c r="BE634" s="20"/>
      <c r="BF634" s="20"/>
      <c r="BG634" s="20"/>
      <c r="BH634" s="20"/>
      <c r="BI634" s="21"/>
      <c r="BJ634" s="21"/>
    </row>
    <row r="635" spans="1:62" ht="15.75" customHeight="1">
      <c r="A635" s="3"/>
      <c r="B635" s="3"/>
      <c r="C635" s="3"/>
      <c r="D635" s="3"/>
      <c r="E635" s="3"/>
      <c r="F635" s="3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  <c r="AN635" s="20"/>
      <c r="AO635" s="20"/>
      <c r="AP635" s="20"/>
      <c r="AQ635" s="20"/>
      <c r="AR635" s="20"/>
      <c r="AS635" s="20"/>
      <c r="AT635" s="20"/>
      <c r="AU635" s="20"/>
      <c r="AV635" s="20"/>
      <c r="AW635" s="20"/>
      <c r="AX635" s="20"/>
      <c r="AY635" s="20"/>
      <c r="AZ635" s="20"/>
      <c r="BA635" s="20"/>
      <c r="BB635" s="20"/>
      <c r="BC635" s="20"/>
      <c r="BD635" s="20"/>
      <c r="BE635" s="20"/>
      <c r="BF635" s="20"/>
      <c r="BG635" s="20"/>
      <c r="BH635" s="20"/>
      <c r="BI635" s="21"/>
      <c r="BJ635" s="21"/>
    </row>
    <row r="636" spans="1:62" ht="15.75" customHeight="1">
      <c r="A636" s="3"/>
      <c r="B636" s="3"/>
      <c r="C636" s="3"/>
      <c r="D636" s="3"/>
      <c r="E636" s="3"/>
      <c r="F636" s="3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  <c r="AN636" s="20"/>
      <c r="AO636" s="20"/>
      <c r="AP636" s="20"/>
      <c r="AQ636" s="20"/>
      <c r="AR636" s="20"/>
      <c r="AS636" s="20"/>
      <c r="AT636" s="20"/>
      <c r="AU636" s="20"/>
      <c r="AV636" s="20"/>
      <c r="AW636" s="20"/>
      <c r="AX636" s="20"/>
      <c r="AY636" s="20"/>
      <c r="AZ636" s="20"/>
      <c r="BA636" s="20"/>
      <c r="BB636" s="20"/>
      <c r="BC636" s="20"/>
      <c r="BD636" s="20"/>
      <c r="BE636" s="20"/>
      <c r="BF636" s="20"/>
      <c r="BG636" s="20"/>
      <c r="BH636" s="20"/>
      <c r="BI636" s="21"/>
      <c r="BJ636" s="21"/>
    </row>
    <row r="637" spans="1:62" ht="15.75" customHeight="1">
      <c r="A637" s="3"/>
      <c r="B637" s="3"/>
      <c r="C637" s="3"/>
      <c r="D637" s="3"/>
      <c r="E637" s="3"/>
      <c r="F637" s="3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  <c r="AN637" s="20"/>
      <c r="AO637" s="20"/>
      <c r="AP637" s="20"/>
      <c r="AQ637" s="20"/>
      <c r="AR637" s="20"/>
      <c r="AS637" s="20"/>
      <c r="AT637" s="20"/>
      <c r="AU637" s="20"/>
      <c r="AV637" s="20"/>
      <c r="AW637" s="20"/>
      <c r="AX637" s="20"/>
      <c r="AY637" s="20"/>
      <c r="AZ637" s="20"/>
      <c r="BA637" s="20"/>
      <c r="BB637" s="20"/>
      <c r="BC637" s="20"/>
      <c r="BD637" s="20"/>
      <c r="BE637" s="20"/>
      <c r="BF637" s="20"/>
      <c r="BG637" s="20"/>
      <c r="BH637" s="20"/>
      <c r="BI637" s="21"/>
      <c r="BJ637" s="21"/>
    </row>
    <row r="638" spans="1:62" ht="15.75" customHeight="1">
      <c r="A638" s="3"/>
      <c r="B638" s="3"/>
      <c r="C638" s="3"/>
      <c r="D638" s="3"/>
      <c r="E638" s="3"/>
      <c r="F638" s="3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  <c r="AN638" s="20"/>
      <c r="AO638" s="20"/>
      <c r="AP638" s="20"/>
      <c r="AQ638" s="20"/>
      <c r="AR638" s="20"/>
      <c r="AS638" s="20"/>
      <c r="AT638" s="20"/>
      <c r="AU638" s="20"/>
      <c r="AV638" s="20"/>
      <c r="AW638" s="20"/>
      <c r="AX638" s="20"/>
      <c r="AY638" s="20"/>
      <c r="AZ638" s="20"/>
      <c r="BA638" s="20"/>
      <c r="BB638" s="20"/>
      <c r="BC638" s="20"/>
      <c r="BD638" s="20"/>
      <c r="BE638" s="20"/>
      <c r="BF638" s="20"/>
      <c r="BG638" s="20"/>
      <c r="BH638" s="20"/>
      <c r="BI638" s="21"/>
      <c r="BJ638" s="21"/>
    </row>
    <row r="639" spans="1:62" ht="15.75" customHeight="1">
      <c r="A639" s="3"/>
      <c r="B639" s="3"/>
      <c r="C639" s="3"/>
      <c r="D639" s="3"/>
      <c r="E639" s="3"/>
      <c r="F639" s="3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  <c r="AN639" s="20"/>
      <c r="AO639" s="20"/>
      <c r="AP639" s="20"/>
      <c r="AQ639" s="20"/>
      <c r="AR639" s="20"/>
      <c r="AS639" s="20"/>
      <c r="AT639" s="20"/>
      <c r="AU639" s="20"/>
      <c r="AV639" s="20"/>
      <c r="AW639" s="20"/>
      <c r="AX639" s="20"/>
      <c r="AY639" s="20"/>
      <c r="AZ639" s="20"/>
      <c r="BA639" s="20"/>
      <c r="BB639" s="20"/>
      <c r="BC639" s="20"/>
      <c r="BD639" s="20"/>
      <c r="BE639" s="20"/>
      <c r="BF639" s="20"/>
      <c r="BG639" s="20"/>
      <c r="BH639" s="20"/>
      <c r="BI639" s="21"/>
      <c r="BJ639" s="21"/>
    </row>
    <row r="640" spans="1:62" ht="15.75" customHeight="1">
      <c r="A640" s="3"/>
      <c r="B640" s="3"/>
      <c r="C640" s="3"/>
      <c r="D640" s="3"/>
      <c r="E640" s="3"/>
      <c r="F640" s="3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  <c r="AN640" s="20"/>
      <c r="AO640" s="20"/>
      <c r="AP640" s="20"/>
      <c r="AQ640" s="20"/>
      <c r="AR640" s="20"/>
      <c r="AS640" s="20"/>
      <c r="AT640" s="20"/>
      <c r="AU640" s="20"/>
      <c r="AV640" s="20"/>
      <c r="AW640" s="20"/>
      <c r="AX640" s="20"/>
      <c r="AY640" s="20"/>
      <c r="AZ640" s="20"/>
      <c r="BA640" s="20"/>
      <c r="BB640" s="20"/>
      <c r="BC640" s="20"/>
      <c r="BD640" s="20"/>
      <c r="BE640" s="20"/>
      <c r="BF640" s="20"/>
      <c r="BG640" s="20"/>
      <c r="BH640" s="20"/>
      <c r="BI640" s="21"/>
      <c r="BJ640" s="21"/>
    </row>
    <row r="641" spans="1:62" ht="15.75" customHeight="1">
      <c r="A641" s="3"/>
      <c r="B641" s="3"/>
      <c r="C641" s="3"/>
      <c r="D641" s="3"/>
      <c r="E641" s="3"/>
      <c r="F641" s="3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  <c r="AN641" s="20"/>
      <c r="AO641" s="20"/>
      <c r="AP641" s="20"/>
      <c r="AQ641" s="20"/>
      <c r="AR641" s="20"/>
      <c r="AS641" s="20"/>
      <c r="AT641" s="20"/>
      <c r="AU641" s="20"/>
      <c r="AV641" s="20"/>
      <c r="AW641" s="20"/>
      <c r="AX641" s="20"/>
      <c r="AY641" s="20"/>
      <c r="AZ641" s="20"/>
      <c r="BA641" s="20"/>
      <c r="BB641" s="20"/>
      <c r="BC641" s="20"/>
      <c r="BD641" s="20"/>
      <c r="BE641" s="20"/>
      <c r="BF641" s="20"/>
      <c r="BG641" s="20"/>
      <c r="BH641" s="20"/>
      <c r="BI641" s="21"/>
      <c r="BJ641" s="21"/>
    </row>
    <row r="642" spans="1:62" ht="15.75" customHeight="1">
      <c r="A642" s="3"/>
      <c r="B642" s="3"/>
      <c r="C642" s="3"/>
      <c r="D642" s="3"/>
      <c r="E642" s="3"/>
      <c r="F642" s="3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  <c r="AN642" s="20"/>
      <c r="AO642" s="20"/>
      <c r="AP642" s="20"/>
      <c r="AQ642" s="20"/>
      <c r="AR642" s="20"/>
      <c r="AS642" s="20"/>
      <c r="AT642" s="20"/>
      <c r="AU642" s="20"/>
      <c r="AV642" s="20"/>
      <c r="AW642" s="20"/>
      <c r="AX642" s="20"/>
      <c r="AY642" s="20"/>
      <c r="AZ642" s="20"/>
      <c r="BA642" s="20"/>
      <c r="BB642" s="20"/>
      <c r="BC642" s="20"/>
      <c r="BD642" s="20"/>
      <c r="BE642" s="20"/>
      <c r="BF642" s="20"/>
      <c r="BG642" s="20"/>
      <c r="BH642" s="20"/>
      <c r="BI642" s="21"/>
      <c r="BJ642" s="21"/>
    </row>
    <row r="643" spans="1:62" ht="15.75" customHeight="1">
      <c r="A643" s="3"/>
      <c r="B643" s="3"/>
      <c r="C643" s="3"/>
      <c r="D643" s="3"/>
      <c r="E643" s="3"/>
      <c r="F643" s="3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  <c r="AN643" s="20"/>
      <c r="AO643" s="20"/>
      <c r="AP643" s="20"/>
      <c r="AQ643" s="20"/>
      <c r="AR643" s="20"/>
      <c r="AS643" s="20"/>
      <c r="AT643" s="20"/>
      <c r="AU643" s="20"/>
      <c r="AV643" s="20"/>
      <c r="AW643" s="20"/>
      <c r="AX643" s="20"/>
      <c r="AY643" s="20"/>
      <c r="AZ643" s="20"/>
      <c r="BA643" s="20"/>
      <c r="BB643" s="20"/>
      <c r="BC643" s="20"/>
      <c r="BD643" s="20"/>
      <c r="BE643" s="20"/>
      <c r="BF643" s="20"/>
      <c r="BG643" s="20"/>
      <c r="BH643" s="20"/>
      <c r="BI643" s="21"/>
      <c r="BJ643" s="21"/>
    </row>
    <row r="644" spans="1:62" ht="15.75" customHeight="1">
      <c r="A644" s="3"/>
      <c r="B644" s="3"/>
      <c r="C644" s="3"/>
      <c r="D644" s="3"/>
      <c r="E644" s="3"/>
      <c r="F644" s="3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  <c r="AN644" s="20"/>
      <c r="AO644" s="20"/>
      <c r="AP644" s="20"/>
      <c r="AQ644" s="20"/>
      <c r="AR644" s="20"/>
      <c r="AS644" s="20"/>
      <c r="AT644" s="20"/>
      <c r="AU644" s="20"/>
      <c r="AV644" s="20"/>
      <c r="AW644" s="20"/>
      <c r="AX644" s="20"/>
      <c r="AY644" s="20"/>
      <c r="AZ644" s="20"/>
      <c r="BA644" s="20"/>
      <c r="BB644" s="20"/>
      <c r="BC644" s="20"/>
      <c r="BD644" s="20"/>
      <c r="BE644" s="20"/>
      <c r="BF644" s="20"/>
      <c r="BG644" s="20"/>
      <c r="BH644" s="20"/>
      <c r="BI644" s="21"/>
      <c r="BJ644" s="21"/>
    </row>
    <row r="645" spans="1:62" ht="15.75" customHeight="1">
      <c r="A645" s="3"/>
      <c r="B645" s="3"/>
      <c r="C645" s="3"/>
      <c r="D645" s="3"/>
      <c r="E645" s="3"/>
      <c r="F645" s="3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  <c r="AN645" s="20"/>
      <c r="AO645" s="20"/>
      <c r="AP645" s="20"/>
      <c r="AQ645" s="20"/>
      <c r="AR645" s="20"/>
      <c r="AS645" s="20"/>
      <c r="AT645" s="20"/>
      <c r="AU645" s="20"/>
      <c r="AV645" s="20"/>
      <c r="AW645" s="20"/>
      <c r="AX645" s="20"/>
      <c r="AY645" s="20"/>
      <c r="AZ645" s="20"/>
      <c r="BA645" s="20"/>
      <c r="BB645" s="20"/>
      <c r="BC645" s="20"/>
      <c r="BD645" s="20"/>
      <c r="BE645" s="20"/>
      <c r="BF645" s="20"/>
      <c r="BG645" s="20"/>
      <c r="BH645" s="20"/>
      <c r="BI645" s="21"/>
      <c r="BJ645" s="21"/>
    </row>
    <row r="646" spans="1:62" ht="15.75" customHeight="1">
      <c r="A646" s="3"/>
      <c r="B646" s="3"/>
      <c r="C646" s="3"/>
      <c r="D646" s="3"/>
      <c r="E646" s="3"/>
      <c r="F646" s="3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  <c r="AN646" s="20"/>
      <c r="AO646" s="20"/>
      <c r="AP646" s="20"/>
      <c r="AQ646" s="20"/>
      <c r="AR646" s="20"/>
      <c r="AS646" s="20"/>
      <c r="AT646" s="20"/>
      <c r="AU646" s="20"/>
      <c r="AV646" s="20"/>
      <c r="AW646" s="20"/>
      <c r="AX646" s="20"/>
      <c r="AY646" s="20"/>
      <c r="AZ646" s="20"/>
      <c r="BA646" s="20"/>
      <c r="BB646" s="20"/>
      <c r="BC646" s="20"/>
      <c r="BD646" s="20"/>
      <c r="BE646" s="20"/>
      <c r="BF646" s="20"/>
      <c r="BG646" s="20"/>
      <c r="BH646" s="20"/>
      <c r="BI646" s="21"/>
      <c r="BJ646" s="21"/>
    </row>
    <row r="647" spans="1:62" ht="15.75" customHeight="1">
      <c r="A647" s="3"/>
      <c r="B647" s="3"/>
      <c r="C647" s="3"/>
      <c r="D647" s="3"/>
      <c r="E647" s="3"/>
      <c r="F647" s="3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  <c r="AN647" s="20"/>
      <c r="AO647" s="20"/>
      <c r="AP647" s="20"/>
      <c r="AQ647" s="20"/>
      <c r="AR647" s="20"/>
      <c r="AS647" s="20"/>
      <c r="AT647" s="20"/>
      <c r="AU647" s="20"/>
      <c r="AV647" s="20"/>
      <c r="AW647" s="20"/>
      <c r="AX647" s="20"/>
      <c r="AY647" s="20"/>
      <c r="AZ647" s="20"/>
      <c r="BA647" s="20"/>
      <c r="BB647" s="20"/>
      <c r="BC647" s="20"/>
      <c r="BD647" s="20"/>
      <c r="BE647" s="20"/>
      <c r="BF647" s="20"/>
      <c r="BG647" s="20"/>
      <c r="BH647" s="20"/>
      <c r="BI647" s="21"/>
      <c r="BJ647" s="21"/>
    </row>
    <row r="648" spans="1:62" ht="15.75" customHeight="1">
      <c r="A648" s="3"/>
      <c r="B648" s="3"/>
      <c r="C648" s="3"/>
      <c r="D648" s="3"/>
      <c r="E648" s="3"/>
      <c r="F648" s="3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  <c r="AN648" s="20"/>
      <c r="AO648" s="20"/>
      <c r="AP648" s="20"/>
      <c r="AQ648" s="20"/>
      <c r="AR648" s="20"/>
      <c r="AS648" s="20"/>
      <c r="AT648" s="20"/>
      <c r="AU648" s="20"/>
      <c r="AV648" s="20"/>
      <c r="AW648" s="20"/>
      <c r="AX648" s="20"/>
      <c r="AY648" s="20"/>
      <c r="AZ648" s="20"/>
      <c r="BA648" s="20"/>
      <c r="BB648" s="20"/>
      <c r="BC648" s="20"/>
      <c r="BD648" s="20"/>
      <c r="BE648" s="20"/>
      <c r="BF648" s="20"/>
      <c r="BG648" s="20"/>
      <c r="BH648" s="20"/>
      <c r="BI648" s="21"/>
      <c r="BJ648" s="21"/>
    </row>
    <row r="649" spans="1:62" ht="15.75" customHeight="1">
      <c r="A649" s="3"/>
      <c r="B649" s="3"/>
      <c r="C649" s="3"/>
      <c r="D649" s="3"/>
      <c r="E649" s="3"/>
      <c r="F649" s="3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  <c r="AN649" s="20"/>
      <c r="AO649" s="20"/>
      <c r="AP649" s="20"/>
      <c r="AQ649" s="20"/>
      <c r="AR649" s="20"/>
      <c r="AS649" s="20"/>
      <c r="AT649" s="20"/>
      <c r="AU649" s="20"/>
      <c r="AV649" s="20"/>
      <c r="AW649" s="20"/>
      <c r="AX649" s="20"/>
      <c r="AY649" s="20"/>
      <c r="AZ649" s="20"/>
      <c r="BA649" s="20"/>
      <c r="BB649" s="20"/>
      <c r="BC649" s="20"/>
      <c r="BD649" s="20"/>
      <c r="BE649" s="20"/>
      <c r="BF649" s="20"/>
      <c r="BG649" s="20"/>
      <c r="BH649" s="20"/>
      <c r="BI649" s="21"/>
      <c r="BJ649" s="21"/>
    </row>
    <row r="650" spans="1:62" ht="15.75" customHeight="1">
      <c r="A650" s="3"/>
      <c r="B650" s="3"/>
      <c r="C650" s="3"/>
      <c r="D650" s="3"/>
      <c r="E650" s="3"/>
      <c r="F650" s="3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  <c r="AN650" s="20"/>
      <c r="AO650" s="20"/>
      <c r="AP650" s="20"/>
      <c r="AQ650" s="20"/>
      <c r="AR650" s="20"/>
      <c r="AS650" s="20"/>
      <c r="AT650" s="20"/>
      <c r="AU650" s="20"/>
      <c r="AV650" s="20"/>
      <c r="AW650" s="20"/>
      <c r="AX650" s="20"/>
      <c r="AY650" s="20"/>
      <c r="AZ650" s="20"/>
      <c r="BA650" s="20"/>
      <c r="BB650" s="20"/>
      <c r="BC650" s="20"/>
      <c r="BD650" s="20"/>
      <c r="BE650" s="20"/>
      <c r="BF650" s="20"/>
      <c r="BG650" s="20"/>
      <c r="BH650" s="20"/>
      <c r="BI650" s="21"/>
      <c r="BJ650" s="21"/>
    </row>
    <row r="651" spans="1:62" ht="15.75" customHeight="1">
      <c r="A651" s="3"/>
      <c r="B651" s="3"/>
      <c r="C651" s="3"/>
      <c r="D651" s="3"/>
      <c r="E651" s="3"/>
      <c r="F651" s="3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  <c r="AN651" s="20"/>
      <c r="AO651" s="20"/>
      <c r="AP651" s="20"/>
      <c r="AQ651" s="20"/>
      <c r="AR651" s="20"/>
      <c r="AS651" s="20"/>
      <c r="AT651" s="20"/>
      <c r="AU651" s="20"/>
      <c r="AV651" s="20"/>
      <c r="AW651" s="20"/>
      <c r="AX651" s="20"/>
      <c r="AY651" s="20"/>
      <c r="AZ651" s="20"/>
      <c r="BA651" s="20"/>
      <c r="BB651" s="20"/>
      <c r="BC651" s="20"/>
      <c r="BD651" s="20"/>
      <c r="BE651" s="20"/>
      <c r="BF651" s="20"/>
      <c r="BG651" s="20"/>
      <c r="BH651" s="20"/>
      <c r="BI651" s="21"/>
      <c r="BJ651" s="21"/>
    </row>
    <row r="652" spans="1:62" ht="15.75" customHeight="1">
      <c r="A652" s="3"/>
      <c r="B652" s="3"/>
      <c r="C652" s="3"/>
      <c r="D652" s="3"/>
      <c r="E652" s="3"/>
      <c r="F652" s="3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  <c r="AN652" s="20"/>
      <c r="AO652" s="20"/>
      <c r="AP652" s="20"/>
      <c r="AQ652" s="20"/>
      <c r="AR652" s="20"/>
      <c r="AS652" s="20"/>
      <c r="AT652" s="20"/>
      <c r="AU652" s="20"/>
      <c r="AV652" s="20"/>
      <c r="AW652" s="20"/>
      <c r="AX652" s="20"/>
      <c r="AY652" s="20"/>
      <c r="AZ652" s="20"/>
      <c r="BA652" s="20"/>
      <c r="BB652" s="20"/>
      <c r="BC652" s="20"/>
      <c r="BD652" s="20"/>
      <c r="BE652" s="20"/>
      <c r="BF652" s="20"/>
      <c r="BG652" s="20"/>
      <c r="BH652" s="20"/>
      <c r="BI652" s="21"/>
      <c r="BJ652" s="21"/>
    </row>
    <row r="653" spans="1:62" ht="15.75" customHeight="1">
      <c r="A653" s="3"/>
      <c r="B653" s="3"/>
      <c r="C653" s="3"/>
      <c r="D653" s="3"/>
      <c r="E653" s="3"/>
      <c r="F653" s="3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  <c r="AN653" s="20"/>
      <c r="AO653" s="20"/>
      <c r="AP653" s="20"/>
      <c r="AQ653" s="20"/>
      <c r="AR653" s="20"/>
      <c r="AS653" s="20"/>
      <c r="AT653" s="20"/>
      <c r="AU653" s="20"/>
      <c r="AV653" s="20"/>
      <c r="AW653" s="20"/>
      <c r="AX653" s="20"/>
      <c r="AY653" s="20"/>
      <c r="AZ653" s="20"/>
      <c r="BA653" s="20"/>
      <c r="BB653" s="20"/>
      <c r="BC653" s="20"/>
      <c r="BD653" s="20"/>
      <c r="BE653" s="20"/>
      <c r="BF653" s="20"/>
      <c r="BG653" s="20"/>
      <c r="BH653" s="20"/>
      <c r="BI653" s="21"/>
      <c r="BJ653" s="21"/>
    </row>
    <row r="654" spans="1:62" ht="15.75" customHeight="1">
      <c r="A654" s="3"/>
      <c r="B654" s="3"/>
      <c r="C654" s="3"/>
      <c r="D654" s="3"/>
      <c r="E654" s="3"/>
      <c r="F654" s="3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  <c r="AN654" s="20"/>
      <c r="AO654" s="20"/>
      <c r="AP654" s="20"/>
      <c r="AQ654" s="20"/>
      <c r="AR654" s="20"/>
      <c r="AS654" s="20"/>
      <c r="AT654" s="20"/>
      <c r="AU654" s="20"/>
      <c r="AV654" s="20"/>
      <c r="AW654" s="20"/>
      <c r="AX654" s="20"/>
      <c r="AY654" s="20"/>
      <c r="AZ654" s="20"/>
      <c r="BA654" s="20"/>
      <c r="BB654" s="20"/>
      <c r="BC654" s="20"/>
      <c r="BD654" s="20"/>
      <c r="BE654" s="20"/>
      <c r="BF654" s="20"/>
      <c r="BG654" s="20"/>
      <c r="BH654" s="20"/>
      <c r="BI654" s="21"/>
      <c r="BJ654" s="21"/>
    </row>
    <row r="655" spans="1:62" ht="15.75" customHeight="1">
      <c r="A655" s="3"/>
      <c r="B655" s="3"/>
      <c r="C655" s="3"/>
      <c r="D655" s="3"/>
      <c r="E655" s="3"/>
      <c r="F655" s="3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  <c r="BB655" s="20"/>
      <c r="BC655" s="20"/>
      <c r="BD655" s="20"/>
      <c r="BE655" s="20"/>
      <c r="BF655" s="20"/>
      <c r="BG655" s="20"/>
      <c r="BH655" s="20"/>
      <c r="BI655" s="21"/>
      <c r="BJ655" s="21"/>
    </row>
    <row r="656" spans="1:62" ht="15.75" customHeight="1">
      <c r="A656" s="3"/>
      <c r="B656" s="3"/>
      <c r="C656" s="3"/>
      <c r="D656" s="3"/>
      <c r="E656" s="3"/>
      <c r="F656" s="3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  <c r="AN656" s="20"/>
      <c r="AO656" s="20"/>
      <c r="AP656" s="20"/>
      <c r="AQ656" s="20"/>
      <c r="AR656" s="20"/>
      <c r="AS656" s="20"/>
      <c r="AT656" s="20"/>
      <c r="AU656" s="20"/>
      <c r="AV656" s="20"/>
      <c r="AW656" s="20"/>
      <c r="AX656" s="20"/>
      <c r="AY656" s="20"/>
      <c r="AZ656" s="20"/>
      <c r="BA656" s="20"/>
      <c r="BB656" s="20"/>
      <c r="BC656" s="20"/>
      <c r="BD656" s="20"/>
      <c r="BE656" s="20"/>
      <c r="BF656" s="20"/>
      <c r="BG656" s="20"/>
      <c r="BH656" s="20"/>
      <c r="BI656" s="21"/>
      <c r="BJ656" s="21"/>
    </row>
    <row r="657" spans="1:62" ht="15.75" customHeight="1">
      <c r="A657" s="3"/>
      <c r="B657" s="3"/>
      <c r="C657" s="3"/>
      <c r="D657" s="3"/>
      <c r="E657" s="3"/>
      <c r="F657" s="3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  <c r="AN657" s="20"/>
      <c r="AO657" s="20"/>
      <c r="AP657" s="20"/>
      <c r="AQ657" s="20"/>
      <c r="AR657" s="20"/>
      <c r="AS657" s="20"/>
      <c r="AT657" s="20"/>
      <c r="AU657" s="20"/>
      <c r="AV657" s="20"/>
      <c r="AW657" s="20"/>
      <c r="AX657" s="20"/>
      <c r="AY657" s="20"/>
      <c r="AZ657" s="20"/>
      <c r="BA657" s="20"/>
      <c r="BB657" s="20"/>
      <c r="BC657" s="20"/>
      <c r="BD657" s="20"/>
      <c r="BE657" s="20"/>
      <c r="BF657" s="20"/>
      <c r="BG657" s="20"/>
      <c r="BH657" s="20"/>
      <c r="BI657" s="21"/>
      <c r="BJ657" s="21"/>
    </row>
    <row r="658" spans="1:62" ht="15.75" customHeight="1">
      <c r="A658" s="3"/>
      <c r="B658" s="3"/>
      <c r="C658" s="3"/>
      <c r="D658" s="3"/>
      <c r="E658" s="3"/>
      <c r="F658" s="3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  <c r="AN658" s="20"/>
      <c r="AO658" s="20"/>
      <c r="AP658" s="20"/>
      <c r="AQ658" s="20"/>
      <c r="AR658" s="20"/>
      <c r="AS658" s="20"/>
      <c r="AT658" s="20"/>
      <c r="AU658" s="20"/>
      <c r="AV658" s="20"/>
      <c r="AW658" s="20"/>
      <c r="AX658" s="20"/>
      <c r="AY658" s="20"/>
      <c r="AZ658" s="20"/>
      <c r="BA658" s="20"/>
      <c r="BB658" s="20"/>
      <c r="BC658" s="20"/>
      <c r="BD658" s="20"/>
      <c r="BE658" s="20"/>
      <c r="BF658" s="20"/>
      <c r="BG658" s="20"/>
      <c r="BH658" s="20"/>
      <c r="BI658" s="21"/>
      <c r="BJ658" s="21"/>
    </row>
    <row r="659" spans="1:62" ht="15.75" customHeight="1">
      <c r="A659" s="3"/>
      <c r="B659" s="3"/>
      <c r="C659" s="3"/>
      <c r="D659" s="3"/>
      <c r="E659" s="3"/>
      <c r="F659" s="3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  <c r="AN659" s="20"/>
      <c r="AO659" s="20"/>
      <c r="AP659" s="20"/>
      <c r="AQ659" s="20"/>
      <c r="AR659" s="20"/>
      <c r="AS659" s="20"/>
      <c r="AT659" s="20"/>
      <c r="AU659" s="20"/>
      <c r="AV659" s="20"/>
      <c r="AW659" s="20"/>
      <c r="AX659" s="20"/>
      <c r="AY659" s="20"/>
      <c r="AZ659" s="20"/>
      <c r="BA659" s="20"/>
      <c r="BB659" s="20"/>
      <c r="BC659" s="20"/>
      <c r="BD659" s="20"/>
      <c r="BE659" s="20"/>
      <c r="BF659" s="20"/>
      <c r="BG659" s="20"/>
      <c r="BH659" s="20"/>
      <c r="BI659" s="21"/>
      <c r="BJ659" s="21"/>
    </row>
    <row r="660" spans="1:62" ht="15.75" customHeight="1">
      <c r="A660" s="3"/>
      <c r="B660" s="3"/>
      <c r="C660" s="3"/>
      <c r="D660" s="3"/>
      <c r="E660" s="3"/>
      <c r="F660" s="3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  <c r="AN660" s="20"/>
      <c r="AO660" s="20"/>
      <c r="AP660" s="20"/>
      <c r="AQ660" s="20"/>
      <c r="AR660" s="20"/>
      <c r="AS660" s="20"/>
      <c r="AT660" s="20"/>
      <c r="AU660" s="20"/>
      <c r="AV660" s="20"/>
      <c r="AW660" s="20"/>
      <c r="AX660" s="20"/>
      <c r="AY660" s="20"/>
      <c r="AZ660" s="20"/>
      <c r="BA660" s="20"/>
      <c r="BB660" s="20"/>
      <c r="BC660" s="20"/>
      <c r="BD660" s="20"/>
      <c r="BE660" s="20"/>
      <c r="BF660" s="20"/>
      <c r="BG660" s="20"/>
      <c r="BH660" s="20"/>
      <c r="BI660" s="21"/>
      <c r="BJ660" s="21"/>
    </row>
    <row r="661" spans="1:62" ht="15.75" customHeight="1">
      <c r="A661" s="3"/>
      <c r="B661" s="3"/>
      <c r="C661" s="3"/>
      <c r="D661" s="3"/>
      <c r="E661" s="3"/>
      <c r="F661" s="3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  <c r="BB661" s="20"/>
      <c r="BC661" s="20"/>
      <c r="BD661" s="20"/>
      <c r="BE661" s="20"/>
      <c r="BF661" s="20"/>
      <c r="BG661" s="20"/>
      <c r="BH661" s="20"/>
      <c r="BI661" s="21"/>
      <c r="BJ661" s="21"/>
    </row>
    <row r="662" spans="1:62" ht="15.75" customHeight="1">
      <c r="A662" s="3"/>
      <c r="B662" s="3"/>
      <c r="C662" s="3"/>
      <c r="D662" s="3"/>
      <c r="E662" s="3"/>
      <c r="F662" s="3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  <c r="BB662" s="20"/>
      <c r="BC662" s="20"/>
      <c r="BD662" s="20"/>
      <c r="BE662" s="20"/>
      <c r="BF662" s="20"/>
      <c r="BG662" s="20"/>
      <c r="BH662" s="20"/>
      <c r="BI662" s="21"/>
      <c r="BJ662" s="21"/>
    </row>
    <row r="663" spans="1:62" ht="15.75" customHeight="1">
      <c r="A663" s="3"/>
      <c r="B663" s="3"/>
      <c r="C663" s="3"/>
      <c r="D663" s="3"/>
      <c r="E663" s="3"/>
      <c r="F663" s="3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  <c r="BB663" s="20"/>
      <c r="BC663" s="20"/>
      <c r="BD663" s="20"/>
      <c r="BE663" s="20"/>
      <c r="BF663" s="20"/>
      <c r="BG663" s="20"/>
      <c r="BH663" s="20"/>
      <c r="BI663" s="21"/>
      <c r="BJ663" s="21"/>
    </row>
    <row r="664" spans="1:62" ht="15.75" customHeight="1">
      <c r="A664" s="3"/>
      <c r="B664" s="3"/>
      <c r="C664" s="3"/>
      <c r="D664" s="3"/>
      <c r="E664" s="3"/>
      <c r="F664" s="3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  <c r="BB664" s="20"/>
      <c r="BC664" s="20"/>
      <c r="BD664" s="20"/>
      <c r="BE664" s="20"/>
      <c r="BF664" s="20"/>
      <c r="BG664" s="20"/>
      <c r="BH664" s="20"/>
      <c r="BI664" s="21"/>
      <c r="BJ664" s="21"/>
    </row>
    <row r="665" spans="1:62" ht="15.75" customHeight="1">
      <c r="A665" s="3"/>
      <c r="B665" s="3"/>
      <c r="C665" s="3"/>
      <c r="D665" s="3"/>
      <c r="E665" s="3"/>
      <c r="F665" s="3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  <c r="BB665" s="20"/>
      <c r="BC665" s="20"/>
      <c r="BD665" s="20"/>
      <c r="BE665" s="20"/>
      <c r="BF665" s="20"/>
      <c r="BG665" s="20"/>
      <c r="BH665" s="20"/>
      <c r="BI665" s="21"/>
      <c r="BJ665" s="21"/>
    </row>
    <row r="666" spans="1:62" ht="15.75" customHeight="1">
      <c r="A666" s="3"/>
      <c r="B666" s="3"/>
      <c r="C666" s="3"/>
      <c r="D666" s="3"/>
      <c r="E666" s="3"/>
      <c r="F666" s="3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  <c r="BB666" s="20"/>
      <c r="BC666" s="20"/>
      <c r="BD666" s="20"/>
      <c r="BE666" s="20"/>
      <c r="BF666" s="20"/>
      <c r="BG666" s="20"/>
      <c r="BH666" s="20"/>
      <c r="BI666" s="21"/>
      <c r="BJ666" s="21"/>
    </row>
    <row r="667" spans="1:62" ht="15.75" customHeight="1">
      <c r="A667" s="3"/>
      <c r="B667" s="3"/>
      <c r="C667" s="3"/>
      <c r="D667" s="3"/>
      <c r="E667" s="3"/>
      <c r="F667" s="3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1"/>
      <c r="BJ667" s="21"/>
    </row>
    <row r="668" spans="1:62" ht="15.75" customHeight="1">
      <c r="A668" s="3"/>
      <c r="B668" s="3"/>
      <c r="C668" s="3"/>
      <c r="D668" s="3"/>
      <c r="E668" s="3"/>
      <c r="F668" s="3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  <c r="AN668" s="20"/>
      <c r="AO668" s="20"/>
      <c r="AP668" s="20"/>
      <c r="AQ668" s="20"/>
      <c r="AR668" s="20"/>
      <c r="AS668" s="20"/>
      <c r="AT668" s="20"/>
      <c r="AU668" s="20"/>
      <c r="AV668" s="20"/>
      <c r="AW668" s="20"/>
      <c r="AX668" s="20"/>
      <c r="AY668" s="20"/>
      <c r="AZ668" s="20"/>
      <c r="BA668" s="20"/>
      <c r="BB668" s="20"/>
      <c r="BC668" s="20"/>
      <c r="BD668" s="20"/>
      <c r="BE668" s="20"/>
      <c r="BF668" s="20"/>
      <c r="BG668" s="20"/>
      <c r="BH668" s="20"/>
      <c r="BI668" s="21"/>
      <c r="BJ668" s="21"/>
    </row>
    <row r="669" spans="1:62" ht="15.75" customHeight="1">
      <c r="A669" s="3"/>
      <c r="B669" s="3"/>
      <c r="C669" s="3"/>
      <c r="D669" s="3"/>
      <c r="E669" s="3"/>
      <c r="F669" s="3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  <c r="BB669" s="20"/>
      <c r="BC669" s="20"/>
      <c r="BD669" s="20"/>
      <c r="BE669" s="20"/>
      <c r="BF669" s="20"/>
      <c r="BG669" s="20"/>
      <c r="BH669" s="20"/>
      <c r="BI669" s="21"/>
      <c r="BJ669" s="21"/>
    </row>
    <row r="670" spans="1:62" ht="15.75" customHeight="1">
      <c r="A670" s="3"/>
      <c r="B670" s="3"/>
      <c r="C670" s="3"/>
      <c r="D670" s="3"/>
      <c r="E670" s="3"/>
      <c r="F670" s="3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  <c r="BB670" s="20"/>
      <c r="BC670" s="20"/>
      <c r="BD670" s="20"/>
      <c r="BE670" s="20"/>
      <c r="BF670" s="20"/>
      <c r="BG670" s="20"/>
      <c r="BH670" s="20"/>
      <c r="BI670" s="21"/>
      <c r="BJ670" s="21"/>
    </row>
    <row r="671" spans="1:62" ht="15.75" customHeight="1">
      <c r="A671" s="3"/>
      <c r="B671" s="3"/>
      <c r="C671" s="3"/>
      <c r="D671" s="3"/>
      <c r="E671" s="3"/>
      <c r="F671" s="3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  <c r="BB671" s="20"/>
      <c r="BC671" s="20"/>
      <c r="BD671" s="20"/>
      <c r="BE671" s="20"/>
      <c r="BF671" s="20"/>
      <c r="BG671" s="20"/>
      <c r="BH671" s="20"/>
      <c r="BI671" s="21"/>
      <c r="BJ671" s="21"/>
    </row>
    <row r="672" spans="1:62" ht="15.75" customHeight="1">
      <c r="A672" s="3"/>
      <c r="B672" s="3"/>
      <c r="C672" s="3"/>
      <c r="D672" s="3"/>
      <c r="E672" s="3"/>
      <c r="F672" s="3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  <c r="BB672" s="20"/>
      <c r="BC672" s="20"/>
      <c r="BD672" s="20"/>
      <c r="BE672" s="20"/>
      <c r="BF672" s="20"/>
      <c r="BG672" s="20"/>
      <c r="BH672" s="20"/>
      <c r="BI672" s="21"/>
      <c r="BJ672" s="21"/>
    </row>
    <row r="673" spans="1:62" ht="15.75" customHeight="1">
      <c r="A673" s="3"/>
      <c r="B673" s="3"/>
      <c r="C673" s="3"/>
      <c r="D673" s="3"/>
      <c r="E673" s="3"/>
      <c r="F673" s="3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1"/>
      <c r="BJ673" s="21"/>
    </row>
    <row r="674" spans="1:62" ht="15.75" customHeight="1">
      <c r="A674" s="3"/>
      <c r="B674" s="3"/>
      <c r="C674" s="3"/>
      <c r="D674" s="3"/>
      <c r="E674" s="3"/>
      <c r="F674" s="3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  <c r="AN674" s="20"/>
      <c r="AO674" s="20"/>
      <c r="AP674" s="20"/>
      <c r="AQ674" s="20"/>
      <c r="AR674" s="20"/>
      <c r="AS674" s="20"/>
      <c r="AT674" s="20"/>
      <c r="AU674" s="20"/>
      <c r="AV674" s="20"/>
      <c r="AW674" s="20"/>
      <c r="AX674" s="20"/>
      <c r="AY674" s="20"/>
      <c r="AZ674" s="20"/>
      <c r="BA674" s="20"/>
      <c r="BB674" s="20"/>
      <c r="BC674" s="20"/>
      <c r="BD674" s="20"/>
      <c r="BE674" s="20"/>
      <c r="BF674" s="20"/>
      <c r="BG674" s="20"/>
      <c r="BH674" s="20"/>
      <c r="BI674" s="21"/>
      <c r="BJ674" s="21"/>
    </row>
    <row r="675" spans="1:62" ht="15.75" customHeight="1">
      <c r="A675" s="3"/>
      <c r="B675" s="3"/>
      <c r="C675" s="3"/>
      <c r="D675" s="3"/>
      <c r="E675" s="3"/>
      <c r="F675" s="3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  <c r="BB675" s="20"/>
      <c r="BC675" s="20"/>
      <c r="BD675" s="20"/>
      <c r="BE675" s="20"/>
      <c r="BF675" s="20"/>
      <c r="BG675" s="20"/>
      <c r="BH675" s="20"/>
      <c r="BI675" s="21"/>
      <c r="BJ675" s="21"/>
    </row>
    <row r="676" spans="1:62" ht="15.75" customHeight="1">
      <c r="A676" s="3"/>
      <c r="B676" s="3"/>
      <c r="C676" s="3"/>
      <c r="D676" s="3"/>
      <c r="E676" s="3"/>
      <c r="F676" s="3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  <c r="BB676" s="20"/>
      <c r="BC676" s="20"/>
      <c r="BD676" s="20"/>
      <c r="BE676" s="20"/>
      <c r="BF676" s="20"/>
      <c r="BG676" s="20"/>
      <c r="BH676" s="20"/>
      <c r="BI676" s="21"/>
      <c r="BJ676" s="21"/>
    </row>
    <row r="677" spans="1:62" ht="15.75" customHeight="1">
      <c r="A677" s="3"/>
      <c r="B677" s="3"/>
      <c r="C677" s="3"/>
      <c r="D677" s="3"/>
      <c r="E677" s="3"/>
      <c r="F677" s="3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  <c r="BB677" s="20"/>
      <c r="BC677" s="20"/>
      <c r="BD677" s="20"/>
      <c r="BE677" s="20"/>
      <c r="BF677" s="20"/>
      <c r="BG677" s="20"/>
      <c r="BH677" s="20"/>
      <c r="BI677" s="21"/>
      <c r="BJ677" s="21"/>
    </row>
    <row r="678" spans="1:62" ht="15.75" customHeight="1">
      <c r="A678" s="3"/>
      <c r="B678" s="3"/>
      <c r="C678" s="3"/>
      <c r="D678" s="3"/>
      <c r="E678" s="3"/>
      <c r="F678" s="3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  <c r="BB678" s="20"/>
      <c r="BC678" s="20"/>
      <c r="BD678" s="20"/>
      <c r="BE678" s="20"/>
      <c r="BF678" s="20"/>
      <c r="BG678" s="20"/>
      <c r="BH678" s="20"/>
      <c r="BI678" s="21"/>
      <c r="BJ678" s="21"/>
    </row>
    <row r="679" spans="1:62" ht="15.75" customHeight="1">
      <c r="A679" s="3"/>
      <c r="B679" s="3"/>
      <c r="C679" s="3"/>
      <c r="D679" s="3"/>
      <c r="E679" s="3"/>
      <c r="F679" s="3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  <c r="BB679" s="20"/>
      <c r="BC679" s="20"/>
      <c r="BD679" s="20"/>
      <c r="BE679" s="20"/>
      <c r="BF679" s="20"/>
      <c r="BG679" s="20"/>
      <c r="BH679" s="20"/>
      <c r="BI679" s="21"/>
      <c r="BJ679" s="21"/>
    </row>
    <row r="680" spans="1:62" ht="15.75" customHeight="1">
      <c r="A680" s="3"/>
      <c r="B680" s="3"/>
      <c r="C680" s="3"/>
      <c r="D680" s="3"/>
      <c r="E680" s="3"/>
      <c r="F680" s="3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  <c r="BB680" s="20"/>
      <c r="BC680" s="20"/>
      <c r="BD680" s="20"/>
      <c r="BE680" s="20"/>
      <c r="BF680" s="20"/>
      <c r="BG680" s="20"/>
      <c r="BH680" s="20"/>
      <c r="BI680" s="21"/>
      <c r="BJ680" s="21"/>
    </row>
    <row r="681" spans="1:62" ht="15.75" customHeight="1">
      <c r="A681" s="3"/>
      <c r="B681" s="3"/>
      <c r="C681" s="3"/>
      <c r="D681" s="3"/>
      <c r="E681" s="3"/>
      <c r="F681" s="3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  <c r="BB681" s="20"/>
      <c r="BC681" s="20"/>
      <c r="BD681" s="20"/>
      <c r="BE681" s="20"/>
      <c r="BF681" s="20"/>
      <c r="BG681" s="20"/>
      <c r="BH681" s="20"/>
      <c r="BI681" s="21"/>
      <c r="BJ681" s="21"/>
    </row>
    <row r="682" spans="1:62" ht="15.75" customHeight="1">
      <c r="A682" s="3"/>
      <c r="B682" s="3"/>
      <c r="C682" s="3"/>
      <c r="D682" s="3"/>
      <c r="E682" s="3"/>
      <c r="F682" s="3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  <c r="BB682" s="20"/>
      <c r="BC682" s="20"/>
      <c r="BD682" s="20"/>
      <c r="BE682" s="20"/>
      <c r="BF682" s="20"/>
      <c r="BG682" s="20"/>
      <c r="BH682" s="20"/>
      <c r="BI682" s="21"/>
      <c r="BJ682" s="21"/>
    </row>
    <row r="683" spans="1:62" ht="15.75" customHeight="1">
      <c r="A683" s="3"/>
      <c r="B683" s="3"/>
      <c r="C683" s="3"/>
      <c r="D683" s="3"/>
      <c r="E683" s="3"/>
      <c r="F683" s="3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  <c r="BB683" s="20"/>
      <c r="BC683" s="20"/>
      <c r="BD683" s="20"/>
      <c r="BE683" s="20"/>
      <c r="BF683" s="20"/>
      <c r="BG683" s="20"/>
      <c r="BH683" s="20"/>
      <c r="BI683" s="21"/>
      <c r="BJ683" s="21"/>
    </row>
    <row r="684" spans="1:62" ht="15.75" customHeight="1">
      <c r="A684" s="3"/>
      <c r="B684" s="3"/>
      <c r="C684" s="3"/>
      <c r="D684" s="3"/>
      <c r="E684" s="3"/>
      <c r="F684" s="3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  <c r="BB684" s="20"/>
      <c r="BC684" s="20"/>
      <c r="BD684" s="20"/>
      <c r="BE684" s="20"/>
      <c r="BF684" s="20"/>
      <c r="BG684" s="20"/>
      <c r="BH684" s="20"/>
      <c r="BI684" s="21"/>
      <c r="BJ684" s="21"/>
    </row>
    <row r="685" spans="1:62" ht="15.75" customHeight="1">
      <c r="A685" s="3"/>
      <c r="B685" s="3"/>
      <c r="C685" s="3"/>
      <c r="D685" s="3"/>
      <c r="E685" s="3"/>
      <c r="F685" s="3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  <c r="BB685" s="20"/>
      <c r="BC685" s="20"/>
      <c r="BD685" s="20"/>
      <c r="BE685" s="20"/>
      <c r="BF685" s="20"/>
      <c r="BG685" s="20"/>
      <c r="BH685" s="20"/>
      <c r="BI685" s="21"/>
      <c r="BJ685" s="21"/>
    </row>
    <row r="686" spans="1:62" ht="15.75" customHeight="1">
      <c r="A686" s="3"/>
      <c r="B686" s="3"/>
      <c r="C686" s="3"/>
      <c r="D686" s="3"/>
      <c r="E686" s="3"/>
      <c r="F686" s="3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  <c r="BB686" s="20"/>
      <c r="BC686" s="20"/>
      <c r="BD686" s="20"/>
      <c r="BE686" s="20"/>
      <c r="BF686" s="20"/>
      <c r="BG686" s="20"/>
      <c r="BH686" s="20"/>
      <c r="BI686" s="21"/>
      <c r="BJ686" s="21"/>
    </row>
    <row r="687" spans="1:62" ht="15.75" customHeight="1">
      <c r="A687" s="3"/>
      <c r="B687" s="3"/>
      <c r="C687" s="3"/>
      <c r="D687" s="3"/>
      <c r="E687" s="3"/>
      <c r="F687" s="3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  <c r="BB687" s="20"/>
      <c r="BC687" s="20"/>
      <c r="BD687" s="20"/>
      <c r="BE687" s="20"/>
      <c r="BF687" s="20"/>
      <c r="BG687" s="20"/>
      <c r="BH687" s="20"/>
      <c r="BI687" s="21"/>
      <c r="BJ687" s="21"/>
    </row>
    <row r="688" spans="1:62" ht="15.75" customHeight="1">
      <c r="A688" s="3"/>
      <c r="B688" s="3"/>
      <c r="C688" s="3"/>
      <c r="D688" s="3"/>
      <c r="E688" s="3"/>
      <c r="F688" s="3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  <c r="AN688" s="20"/>
      <c r="AO688" s="20"/>
      <c r="AP688" s="20"/>
      <c r="AQ688" s="20"/>
      <c r="AR688" s="20"/>
      <c r="AS688" s="20"/>
      <c r="AT688" s="20"/>
      <c r="AU688" s="20"/>
      <c r="AV688" s="20"/>
      <c r="AW688" s="20"/>
      <c r="AX688" s="20"/>
      <c r="AY688" s="20"/>
      <c r="AZ688" s="20"/>
      <c r="BA688" s="20"/>
      <c r="BB688" s="20"/>
      <c r="BC688" s="20"/>
      <c r="BD688" s="20"/>
      <c r="BE688" s="20"/>
      <c r="BF688" s="20"/>
      <c r="BG688" s="20"/>
      <c r="BH688" s="20"/>
      <c r="BI688" s="21"/>
      <c r="BJ688" s="21"/>
    </row>
    <row r="689" spans="1:62" ht="15.75" customHeight="1">
      <c r="A689" s="3"/>
      <c r="B689" s="3"/>
      <c r="C689" s="3"/>
      <c r="D689" s="3"/>
      <c r="E689" s="3"/>
      <c r="F689" s="3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  <c r="AN689" s="20"/>
      <c r="AO689" s="20"/>
      <c r="AP689" s="20"/>
      <c r="AQ689" s="20"/>
      <c r="AR689" s="20"/>
      <c r="AS689" s="20"/>
      <c r="AT689" s="20"/>
      <c r="AU689" s="20"/>
      <c r="AV689" s="20"/>
      <c r="AW689" s="20"/>
      <c r="AX689" s="20"/>
      <c r="AY689" s="20"/>
      <c r="AZ689" s="20"/>
      <c r="BA689" s="20"/>
      <c r="BB689" s="20"/>
      <c r="BC689" s="20"/>
      <c r="BD689" s="20"/>
      <c r="BE689" s="20"/>
      <c r="BF689" s="20"/>
      <c r="BG689" s="20"/>
      <c r="BH689" s="20"/>
      <c r="BI689" s="21"/>
      <c r="BJ689" s="21"/>
    </row>
    <row r="690" spans="1:62" ht="15.75" customHeight="1">
      <c r="A690" s="3"/>
      <c r="B690" s="3"/>
      <c r="C690" s="3"/>
      <c r="D690" s="3"/>
      <c r="E690" s="3"/>
      <c r="F690" s="3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  <c r="AN690" s="20"/>
      <c r="AO690" s="20"/>
      <c r="AP690" s="20"/>
      <c r="AQ690" s="20"/>
      <c r="AR690" s="20"/>
      <c r="AS690" s="20"/>
      <c r="AT690" s="20"/>
      <c r="AU690" s="20"/>
      <c r="AV690" s="20"/>
      <c r="AW690" s="20"/>
      <c r="AX690" s="20"/>
      <c r="AY690" s="20"/>
      <c r="AZ690" s="20"/>
      <c r="BA690" s="20"/>
      <c r="BB690" s="20"/>
      <c r="BC690" s="20"/>
      <c r="BD690" s="20"/>
      <c r="BE690" s="20"/>
      <c r="BF690" s="20"/>
      <c r="BG690" s="20"/>
      <c r="BH690" s="20"/>
      <c r="BI690" s="21"/>
      <c r="BJ690" s="21"/>
    </row>
    <row r="691" spans="1:62" ht="15.75" customHeight="1">
      <c r="A691" s="3"/>
      <c r="B691" s="3"/>
      <c r="C691" s="3"/>
      <c r="D691" s="3"/>
      <c r="E691" s="3"/>
      <c r="F691" s="3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  <c r="AN691" s="20"/>
      <c r="AO691" s="20"/>
      <c r="AP691" s="20"/>
      <c r="AQ691" s="20"/>
      <c r="AR691" s="20"/>
      <c r="AS691" s="20"/>
      <c r="AT691" s="20"/>
      <c r="AU691" s="20"/>
      <c r="AV691" s="20"/>
      <c r="AW691" s="20"/>
      <c r="AX691" s="20"/>
      <c r="AY691" s="20"/>
      <c r="AZ691" s="20"/>
      <c r="BA691" s="20"/>
      <c r="BB691" s="20"/>
      <c r="BC691" s="20"/>
      <c r="BD691" s="20"/>
      <c r="BE691" s="20"/>
      <c r="BF691" s="20"/>
      <c r="BG691" s="20"/>
      <c r="BH691" s="20"/>
      <c r="BI691" s="21"/>
      <c r="BJ691" s="21"/>
    </row>
    <row r="692" spans="1:62" ht="15.75" customHeight="1">
      <c r="A692" s="3"/>
      <c r="B692" s="3"/>
      <c r="C692" s="3"/>
      <c r="D692" s="3"/>
      <c r="E692" s="3"/>
      <c r="F692" s="3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  <c r="BB692" s="20"/>
      <c r="BC692" s="20"/>
      <c r="BD692" s="20"/>
      <c r="BE692" s="20"/>
      <c r="BF692" s="20"/>
      <c r="BG692" s="20"/>
      <c r="BH692" s="20"/>
      <c r="BI692" s="21"/>
      <c r="BJ692" s="21"/>
    </row>
    <row r="693" spans="1:62" ht="15.75" customHeight="1">
      <c r="A693" s="3"/>
      <c r="B693" s="3"/>
      <c r="C693" s="3"/>
      <c r="D693" s="3"/>
      <c r="E693" s="3"/>
      <c r="F693" s="3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  <c r="BB693" s="20"/>
      <c r="BC693" s="20"/>
      <c r="BD693" s="20"/>
      <c r="BE693" s="20"/>
      <c r="BF693" s="20"/>
      <c r="BG693" s="20"/>
      <c r="BH693" s="20"/>
      <c r="BI693" s="21"/>
      <c r="BJ693" s="21"/>
    </row>
    <row r="694" spans="1:62" ht="15.75" customHeight="1">
      <c r="A694" s="3"/>
      <c r="B694" s="3"/>
      <c r="C694" s="3"/>
      <c r="D694" s="3"/>
      <c r="E694" s="3"/>
      <c r="F694" s="3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  <c r="BB694" s="20"/>
      <c r="BC694" s="20"/>
      <c r="BD694" s="20"/>
      <c r="BE694" s="20"/>
      <c r="BF694" s="20"/>
      <c r="BG694" s="20"/>
      <c r="BH694" s="20"/>
      <c r="BI694" s="21"/>
      <c r="BJ694" s="21"/>
    </row>
    <row r="695" spans="1:62" ht="15.75" customHeight="1">
      <c r="A695" s="3"/>
      <c r="B695" s="3"/>
      <c r="C695" s="3"/>
      <c r="D695" s="3"/>
      <c r="E695" s="3"/>
      <c r="F695" s="3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  <c r="AN695" s="20"/>
      <c r="AO695" s="20"/>
      <c r="AP695" s="20"/>
      <c r="AQ695" s="20"/>
      <c r="AR695" s="20"/>
      <c r="AS695" s="20"/>
      <c r="AT695" s="20"/>
      <c r="AU695" s="20"/>
      <c r="AV695" s="20"/>
      <c r="AW695" s="20"/>
      <c r="AX695" s="20"/>
      <c r="AY695" s="20"/>
      <c r="AZ695" s="20"/>
      <c r="BA695" s="20"/>
      <c r="BB695" s="20"/>
      <c r="BC695" s="20"/>
      <c r="BD695" s="20"/>
      <c r="BE695" s="20"/>
      <c r="BF695" s="20"/>
      <c r="BG695" s="20"/>
      <c r="BH695" s="20"/>
      <c r="BI695" s="21"/>
      <c r="BJ695" s="21"/>
    </row>
    <row r="696" spans="1:62" ht="15.75" customHeight="1">
      <c r="A696" s="3"/>
      <c r="B696" s="3"/>
      <c r="C696" s="3"/>
      <c r="D696" s="3"/>
      <c r="E696" s="3"/>
      <c r="F696" s="3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  <c r="AN696" s="20"/>
      <c r="AO696" s="20"/>
      <c r="AP696" s="20"/>
      <c r="AQ696" s="20"/>
      <c r="AR696" s="20"/>
      <c r="AS696" s="20"/>
      <c r="AT696" s="20"/>
      <c r="AU696" s="20"/>
      <c r="AV696" s="20"/>
      <c r="AW696" s="20"/>
      <c r="AX696" s="20"/>
      <c r="AY696" s="20"/>
      <c r="AZ696" s="20"/>
      <c r="BA696" s="20"/>
      <c r="BB696" s="20"/>
      <c r="BC696" s="20"/>
      <c r="BD696" s="20"/>
      <c r="BE696" s="20"/>
      <c r="BF696" s="20"/>
      <c r="BG696" s="20"/>
      <c r="BH696" s="20"/>
      <c r="BI696" s="21"/>
      <c r="BJ696" s="21"/>
    </row>
    <row r="697" spans="1:62" ht="15.75" customHeight="1">
      <c r="A697" s="3"/>
      <c r="B697" s="3"/>
      <c r="C697" s="3"/>
      <c r="D697" s="3"/>
      <c r="E697" s="3"/>
      <c r="F697" s="3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  <c r="AN697" s="20"/>
      <c r="AO697" s="20"/>
      <c r="AP697" s="20"/>
      <c r="AQ697" s="20"/>
      <c r="AR697" s="20"/>
      <c r="AS697" s="20"/>
      <c r="AT697" s="20"/>
      <c r="AU697" s="20"/>
      <c r="AV697" s="20"/>
      <c r="AW697" s="20"/>
      <c r="AX697" s="20"/>
      <c r="AY697" s="20"/>
      <c r="AZ697" s="20"/>
      <c r="BA697" s="20"/>
      <c r="BB697" s="20"/>
      <c r="BC697" s="20"/>
      <c r="BD697" s="20"/>
      <c r="BE697" s="20"/>
      <c r="BF697" s="20"/>
      <c r="BG697" s="20"/>
      <c r="BH697" s="20"/>
      <c r="BI697" s="21"/>
      <c r="BJ697" s="21"/>
    </row>
    <row r="698" spans="1:62" ht="15.75" customHeight="1">
      <c r="A698" s="3"/>
      <c r="B698" s="3"/>
      <c r="C698" s="3"/>
      <c r="D698" s="3"/>
      <c r="E698" s="3"/>
      <c r="F698" s="3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  <c r="AN698" s="20"/>
      <c r="AO698" s="20"/>
      <c r="AP698" s="20"/>
      <c r="AQ698" s="20"/>
      <c r="AR698" s="20"/>
      <c r="AS698" s="20"/>
      <c r="AT698" s="20"/>
      <c r="AU698" s="20"/>
      <c r="AV698" s="20"/>
      <c r="AW698" s="20"/>
      <c r="AX698" s="20"/>
      <c r="AY698" s="20"/>
      <c r="AZ698" s="20"/>
      <c r="BA698" s="20"/>
      <c r="BB698" s="20"/>
      <c r="BC698" s="20"/>
      <c r="BD698" s="20"/>
      <c r="BE698" s="20"/>
      <c r="BF698" s="20"/>
      <c r="BG698" s="20"/>
      <c r="BH698" s="20"/>
      <c r="BI698" s="21"/>
      <c r="BJ698" s="21"/>
    </row>
    <row r="699" spans="1:62" ht="15.75" customHeight="1">
      <c r="A699" s="3"/>
      <c r="B699" s="3"/>
      <c r="C699" s="3"/>
      <c r="D699" s="3"/>
      <c r="E699" s="3"/>
      <c r="F699" s="3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  <c r="AN699" s="20"/>
      <c r="AO699" s="20"/>
      <c r="AP699" s="20"/>
      <c r="AQ699" s="20"/>
      <c r="AR699" s="20"/>
      <c r="AS699" s="20"/>
      <c r="AT699" s="20"/>
      <c r="AU699" s="20"/>
      <c r="AV699" s="20"/>
      <c r="AW699" s="20"/>
      <c r="AX699" s="20"/>
      <c r="AY699" s="20"/>
      <c r="AZ699" s="20"/>
      <c r="BA699" s="20"/>
      <c r="BB699" s="20"/>
      <c r="BC699" s="20"/>
      <c r="BD699" s="20"/>
      <c r="BE699" s="20"/>
      <c r="BF699" s="20"/>
      <c r="BG699" s="20"/>
      <c r="BH699" s="20"/>
      <c r="BI699" s="21"/>
      <c r="BJ699" s="21"/>
    </row>
    <row r="700" spans="1:62" ht="15.75" customHeight="1">
      <c r="A700" s="3"/>
      <c r="B700" s="3"/>
      <c r="C700" s="3"/>
      <c r="D700" s="3"/>
      <c r="E700" s="3"/>
      <c r="F700" s="3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  <c r="AN700" s="20"/>
      <c r="AO700" s="20"/>
      <c r="AP700" s="20"/>
      <c r="AQ700" s="20"/>
      <c r="AR700" s="20"/>
      <c r="AS700" s="20"/>
      <c r="AT700" s="20"/>
      <c r="AU700" s="20"/>
      <c r="AV700" s="20"/>
      <c r="AW700" s="20"/>
      <c r="AX700" s="20"/>
      <c r="AY700" s="20"/>
      <c r="AZ700" s="20"/>
      <c r="BA700" s="20"/>
      <c r="BB700" s="20"/>
      <c r="BC700" s="20"/>
      <c r="BD700" s="20"/>
      <c r="BE700" s="20"/>
      <c r="BF700" s="20"/>
      <c r="BG700" s="20"/>
      <c r="BH700" s="20"/>
      <c r="BI700" s="21"/>
      <c r="BJ700" s="21"/>
    </row>
    <row r="701" spans="1:62" ht="15.75" customHeight="1">
      <c r="A701" s="3"/>
      <c r="B701" s="3"/>
      <c r="C701" s="3"/>
      <c r="D701" s="3"/>
      <c r="E701" s="3"/>
      <c r="F701" s="3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  <c r="AN701" s="20"/>
      <c r="AO701" s="20"/>
      <c r="AP701" s="20"/>
      <c r="AQ701" s="20"/>
      <c r="AR701" s="20"/>
      <c r="AS701" s="20"/>
      <c r="AT701" s="20"/>
      <c r="AU701" s="20"/>
      <c r="AV701" s="20"/>
      <c r="AW701" s="20"/>
      <c r="AX701" s="20"/>
      <c r="AY701" s="20"/>
      <c r="AZ701" s="20"/>
      <c r="BA701" s="20"/>
      <c r="BB701" s="20"/>
      <c r="BC701" s="20"/>
      <c r="BD701" s="20"/>
      <c r="BE701" s="20"/>
      <c r="BF701" s="20"/>
      <c r="BG701" s="20"/>
      <c r="BH701" s="20"/>
      <c r="BI701" s="21"/>
      <c r="BJ701" s="21"/>
    </row>
    <row r="702" spans="1:62" ht="15.75" customHeight="1">
      <c r="A702" s="3"/>
      <c r="B702" s="3"/>
      <c r="C702" s="3"/>
      <c r="D702" s="3"/>
      <c r="E702" s="3"/>
      <c r="F702" s="3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  <c r="AN702" s="20"/>
      <c r="AO702" s="20"/>
      <c r="AP702" s="20"/>
      <c r="AQ702" s="20"/>
      <c r="AR702" s="20"/>
      <c r="AS702" s="20"/>
      <c r="AT702" s="20"/>
      <c r="AU702" s="20"/>
      <c r="AV702" s="20"/>
      <c r="AW702" s="20"/>
      <c r="AX702" s="20"/>
      <c r="AY702" s="20"/>
      <c r="AZ702" s="20"/>
      <c r="BA702" s="20"/>
      <c r="BB702" s="20"/>
      <c r="BC702" s="20"/>
      <c r="BD702" s="20"/>
      <c r="BE702" s="20"/>
      <c r="BF702" s="20"/>
      <c r="BG702" s="20"/>
      <c r="BH702" s="20"/>
      <c r="BI702" s="21"/>
      <c r="BJ702" s="21"/>
    </row>
    <row r="703" spans="1:62" ht="15.75" customHeight="1">
      <c r="A703" s="3"/>
      <c r="B703" s="3"/>
      <c r="C703" s="3"/>
      <c r="D703" s="3"/>
      <c r="E703" s="3"/>
      <c r="F703" s="3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  <c r="AN703" s="20"/>
      <c r="AO703" s="20"/>
      <c r="AP703" s="20"/>
      <c r="AQ703" s="20"/>
      <c r="AR703" s="20"/>
      <c r="AS703" s="20"/>
      <c r="AT703" s="20"/>
      <c r="AU703" s="20"/>
      <c r="AV703" s="20"/>
      <c r="AW703" s="20"/>
      <c r="AX703" s="20"/>
      <c r="AY703" s="20"/>
      <c r="AZ703" s="20"/>
      <c r="BA703" s="20"/>
      <c r="BB703" s="20"/>
      <c r="BC703" s="20"/>
      <c r="BD703" s="20"/>
      <c r="BE703" s="20"/>
      <c r="BF703" s="20"/>
      <c r="BG703" s="20"/>
      <c r="BH703" s="20"/>
      <c r="BI703" s="21"/>
      <c r="BJ703" s="21"/>
    </row>
    <row r="704" spans="1:62" ht="15.75" customHeight="1">
      <c r="A704" s="3"/>
      <c r="B704" s="3"/>
      <c r="C704" s="3"/>
      <c r="D704" s="3"/>
      <c r="E704" s="3"/>
      <c r="F704" s="3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  <c r="AN704" s="20"/>
      <c r="AO704" s="20"/>
      <c r="AP704" s="20"/>
      <c r="AQ704" s="20"/>
      <c r="AR704" s="20"/>
      <c r="AS704" s="20"/>
      <c r="AT704" s="20"/>
      <c r="AU704" s="20"/>
      <c r="AV704" s="20"/>
      <c r="AW704" s="20"/>
      <c r="AX704" s="20"/>
      <c r="AY704" s="20"/>
      <c r="AZ704" s="20"/>
      <c r="BA704" s="20"/>
      <c r="BB704" s="20"/>
      <c r="BC704" s="20"/>
      <c r="BD704" s="20"/>
      <c r="BE704" s="20"/>
      <c r="BF704" s="20"/>
      <c r="BG704" s="20"/>
      <c r="BH704" s="20"/>
      <c r="BI704" s="21"/>
      <c r="BJ704" s="21"/>
    </row>
    <row r="705" spans="1:62" ht="15.75" customHeight="1">
      <c r="A705" s="3"/>
      <c r="B705" s="3"/>
      <c r="C705" s="3"/>
      <c r="D705" s="3"/>
      <c r="E705" s="3"/>
      <c r="F705" s="3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  <c r="AN705" s="20"/>
      <c r="AO705" s="20"/>
      <c r="AP705" s="20"/>
      <c r="AQ705" s="20"/>
      <c r="AR705" s="20"/>
      <c r="AS705" s="20"/>
      <c r="AT705" s="20"/>
      <c r="AU705" s="20"/>
      <c r="AV705" s="20"/>
      <c r="AW705" s="20"/>
      <c r="AX705" s="20"/>
      <c r="AY705" s="20"/>
      <c r="AZ705" s="20"/>
      <c r="BA705" s="20"/>
      <c r="BB705" s="20"/>
      <c r="BC705" s="20"/>
      <c r="BD705" s="20"/>
      <c r="BE705" s="20"/>
      <c r="BF705" s="20"/>
      <c r="BG705" s="20"/>
      <c r="BH705" s="20"/>
      <c r="BI705" s="21"/>
      <c r="BJ705" s="21"/>
    </row>
    <row r="706" spans="1:62" ht="15.75" customHeight="1">
      <c r="A706" s="3"/>
      <c r="B706" s="3"/>
      <c r="C706" s="3"/>
      <c r="D706" s="3"/>
      <c r="E706" s="3"/>
      <c r="F706" s="3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  <c r="AN706" s="20"/>
      <c r="AO706" s="20"/>
      <c r="AP706" s="20"/>
      <c r="AQ706" s="20"/>
      <c r="AR706" s="20"/>
      <c r="AS706" s="20"/>
      <c r="AT706" s="20"/>
      <c r="AU706" s="20"/>
      <c r="AV706" s="20"/>
      <c r="AW706" s="20"/>
      <c r="AX706" s="20"/>
      <c r="AY706" s="20"/>
      <c r="AZ706" s="20"/>
      <c r="BA706" s="20"/>
      <c r="BB706" s="20"/>
      <c r="BC706" s="20"/>
      <c r="BD706" s="20"/>
      <c r="BE706" s="20"/>
      <c r="BF706" s="20"/>
      <c r="BG706" s="20"/>
      <c r="BH706" s="20"/>
      <c r="BI706" s="21"/>
      <c r="BJ706" s="21"/>
    </row>
    <row r="707" spans="1:62" ht="15.75" customHeight="1">
      <c r="A707" s="3"/>
      <c r="B707" s="3"/>
      <c r="C707" s="3"/>
      <c r="D707" s="3"/>
      <c r="E707" s="3"/>
      <c r="F707" s="3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  <c r="AN707" s="20"/>
      <c r="AO707" s="20"/>
      <c r="AP707" s="20"/>
      <c r="AQ707" s="20"/>
      <c r="AR707" s="20"/>
      <c r="AS707" s="20"/>
      <c r="AT707" s="20"/>
      <c r="AU707" s="20"/>
      <c r="AV707" s="20"/>
      <c r="AW707" s="20"/>
      <c r="AX707" s="20"/>
      <c r="AY707" s="20"/>
      <c r="AZ707" s="20"/>
      <c r="BA707" s="20"/>
      <c r="BB707" s="20"/>
      <c r="BC707" s="20"/>
      <c r="BD707" s="20"/>
      <c r="BE707" s="20"/>
      <c r="BF707" s="20"/>
      <c r="BG707" s="20"/>
      <c r="BH707" s="20"/>
      <c r="BI707" s="21"/>
      <c r="BJ707" s="21"/>
    </row>
    <row r="708" spans="1:62" ht="15.75" customHeight="1">
      <c r="A708" s="3"/>
      <c r="B708" s="3"/>
      <c r="C708" s="3"/>
      <c r="D708" s="3"/>
      <c r="E708" s="3"/>
      <c r="F708" s="3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  <c r="AN708" s="20"/>
      <c r="AO708" s="20"/>
      <c r="AP708" s="20"/>
      <c r="AQ708" s="20"/>
      <c r="AR708" s="20"/>
      <c r="AS708" s="20"/>
      <c r="AT708" s="20"/>
      <c r="AU708" s="20"/>
      <c r="AV708" s="20"/>
      <c r="AW708" s="20"/>
      <c r="AX708" s="20"/>
      <c r="AY708" s="20"/>
      <c r="AZ708" s="20"/>
      <c r="BA708" s="20"/>
      <c r="BB708" s="20"/>
      <c r="BC708" s="20"/>
      <c r="BD708" s="20"/>
      <c r="BE708" s="20"/>
      <c r="BF708" s="20"/>
      <c r="BG708" s="20"/>
      <c r="BH708" s="20"/>
      <c r="BI708" s="21"/>
      <c r="BJ708" s="21"/>
    </row>
    <row r="709" spans="1:62" ht="15.75" customHeight="1">
      <c r="A709" s="3"/>
      <c r="B709" s="3"/>
      <c r="C709" s="3"/>
      <c r="D709" s="3"/>
      <c r="E709" s="3"/>
      <c r="F709" s="3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  <c r="AN709" s="20"/>
      <c r="AO709" s="20"/>
      <c r="AP709" s="20"/>
      <c r="AQ709" s="20"/>
      <c r="AR709" s="20"/>
      <c r="AS709" s="20"/>
      <c r="AT709" s="20"/>
      <c r="AU709" s="20"/>
      <c r="AV709" s="20"/>
      <c r="AW709" s="20"/>
      <c r="AX709" s="20"/>
      <c r="AY709" s="20"/>
      <c r="AZ709" s="20"/>
      <c r="BA709" s="20"/>
      <c r="BB709" s="20"/>
      <c r="BC709" s="20"/>
      <c r="BD709" s="20"/>
      <c r="BE709" s="20"/>
      <c r="BF709" s="20"/>
      <c r="BG709" s="20"/>
      <c r="BH709" s="20"/>
      <c r="BI709" s="21"/>
      <c r="BJ709" s="21"/>
    </row>
    <row r="710" spans="1:62" ht="15.75" customHeight="1">
      <c r="A710" s="3"/>
      <c r="B710" s="3"/>
      <c r="C710" s="3"/>
      <c r="D710" s="3"/>
      <c r="E710" s="3"/>
      <c r="F710" s="3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  <c r="BB710" s="20"/>
      <c r="BC710" s="20"/>
      <c r="BD710" s="20"/>
      <c r="BE710" s="20"/>
      <c r="BF710" s="20"/>
      <c r="BG710" s="20"/>
      <c r="BH710" s="20"/>
      <c r="BI710" s="21"/>
      <c r="BJ710" s="21"/>
    </row>
    <row r="711" spans="1:62" ht="15.75" customHeight="1">
      <c r="A711" s="3"/>
      <c r="B711" s="3"/>
      <c r="C711" s="3"/>
      <c r="D711" s="3"/>
      <c r="E711" s="3"/>
      <c r="F711" s="3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  <c r="BB711" s="20"/>
      <c r="BC711" s="20"/>
      <c r="BD711" s="20"/>
      <c r="BE711" s="20"/>
      <c r="BF711" s="20"/>
      <c r="BG711" s="20"/>
      <c r="BH711" s="20"/>
      <c r="BI711" s="21"/>
      <c r="BJ711" s="21"/>
    </row>
    <row r="712" spans="1:62" ht="15.75" customHeight="1">
      <c r="A712" s="3"/>
      <c r="B712" s="3"/>
      <c r="C712" s="3"/>
      <c r="D712" s="3"/>
      <c r="E712" s="3"/>
      <c r="F712" s="3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  <c r="BB712" s="20"/>
      <c r="BC712" s="20"/>
      <c r="BD712" s="20"/>
      <c r="BE712" s="20"/>
      <c r="BF712" s="20"/>
      <c r="BG712" s="20"/>
      <c r="BH712" s="20"/>
      <c r="BI712" s="21"/>
      <c r="BJ712" s="21"/>
    </row>
    <row r="713" spans="1:62" ht="15.75" customHeight="1">
      <c r="A713" s="3"/>
      <c r="B713" s="3"/>
      <c r="C713" s="3"/>
      <c r="D713" s="3"/>
      <c r="E713" s="3"/>
      <c r="F713" s="3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  <c r="BB713" s="20"/>
      <c r="BC713" s="20"/>
      <c r="BD713" s="20"/>
      <c r="BE713" s="20"/>
      <c r="BF713" s="20"/>
      <c r="BG713" s="20"/>
      <c r="BH713" s="20"/>
      <c r="BI713" s="21"/>
      <c r="BJ713" s="21"/>
    </row>
    <row r="714" spans="1:62" ht="15.75" customHeight="1">
      <c r="A714" s="3"/>
      <c r="B714" s="3"/>
      <c r="C714" s="3"/>
      <c r="D714" s="3"/>
      <c r="E714" s="3"/>
      <c r="F714" s="3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  <c r="BB714" s="20"/>
      <c r="BC714" s="20"/>
      <c r="BD714" s="20"/>
      <c r="BE714" s="20"/>
      <c r="BF714" s="20"/>
      <c r="BG714" s="20"/>
      <c r="BH714" s="20"/>
      <c r="BI714" s="21"/>
      <c r="BJ714" s="21"/>
    </row>
    <row r="715" spans="1:62" ht="15.75" customHeight="1">
      <c r="A715" s="3"/>
      <c r="B715" s="3"/>
      <c r="C715" s="3"/>
      <c r="D715" s="3"/>
      <c r="E715" s="3"/>
      <c r="F715" s="3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  <c r="BB715" s="20"/>
      <c r="BC715" s="20"/>
      <c r="BD715" s="20"/>
      <c r="BE715" s="20"/>
      <c r="BF715" s="20"/>
      <c r="BG715" s="20"/>
      <c r="BH715" s="20"/>
      <c r="BI715" s="21"/>
      <c r="BJ715" s="21"/>
    </row>
    <row r="716" spans="1:62" ht="15.75" customHeight="1">
      <c r="A716" s="3"/>
      <c r="B716" s="3"/>
      <c r="C716" s="3"/>
      <c r="D716" s="3"/>
      <c r="E716" s="3"/>
      <c r="F716" s="3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  <c r="BB716" s="20"/>
      <c r="BC716" s="20"/>
      <c r="BD716" s="20"/>
      <c r="BE716" s="20"/>
      <c r="BF716" s="20"/>
      <c r="BG716" s="20"/>
      <c r="BH716" s="20"/>
      <c r="BI716" s="21"/>
      <c r="BJ716" s="21"/>
    </row>
    <row r="717" spans="1:62" ht="15.75" customHeight="1">
      <c r="A717" s="3"/>
      <c r="B717" s="3"/>
      <c r="C717" s="3"/>
      <c r="D717" s="3"/>
      <c r="E717" s="3"/>
      <c r="F717" s="3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1"/>
      <c r="BJ717" s="21"/>
    </row>
    <row r="718" spans="1:62" ht="15.75" customHeight="1">
      <c r="A718" s="3"/>
      <c r="B718" s="3"/>
      <c r="C718" s="3"/>
      <c r="D718" s="3"/>
      <c r="E718" s="3"/>
      <c r="F718" s="3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  <c r="BB718" s="20"/>
      <c r="BC718" s="20"/>
      <c r="BD718" s="20"/>
      <c r="BE718" s="20"/>
      <c r="BF718" s="20"/>
      <c r="BG718" s="20"/>
      <c r="BH718" s="20"/>
      <c r="BI718" s="21"/>
      <c r="BJ718" s="21"/>
    </row>
    <row r="719" spans="1:62" ht="15.75" customHeight="1">
      <c r="A719" s="3"/>
      <c r="B719" s="3"/>
      <c r="C719" s="3"/>
      <c r="D719" s="3"/>
      <c r="E719" s="3"/>
      <c r="F719" s="3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  <c r="BB719" s="20"/>
      <c r="BC719" s="20"/>
      <c r="BD719" s="20"/>
      <c r="BE719" s="20"/>
      <c r="BF719" s="20"/>
      <c r="BG719" s="20"/>
      <c r="BH719" s="20"/>
      <c r="BI719" s="21"/>
      <c r="BJ719" s="21"/>
    </row>
    <row r="720" spans="1:62" ht="15.75" customHeight="1">
      <c r="A720" s="3"/>
      <c r="B720" s="3"/>
      <c r="C720" s="3"/>
      <c r="D720" s="3"/>
      <c r="E720" s="3"/>
      <c r="F720" s="3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  <c r="BB720" s="20"/>
      <c r="BC720" s="20"/>
      <c r="BD720" s="20"/>
      <c r="BE720" s="20"/>
      <c r="BF720" s="20"/>
      <c r="BG720" s="20"/>
      <c r="BH720" s="20"/>
      <c r="BI720" s="21"/>
      <c r="BJ720" s="21"/>
    </row>
    <row r="721" spans="1:62" ht="15.75" customHeight="1">
      <c r="A721" s="3"/>
      <c r="B721" s="3"/>
      <c r="C721" s="3"/>
      <c r="D721" s="3"/>
      <c r="E721" s="3"/>
      <c r="F721" s="3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  <c r="BB721" s="20"/>
      <c r="BC721" s="20"/>
      <c r="BD721" s="20"/>
      <c r="BE721" s="20"/>
      <c r="BF721" s="20"/>
      <c r="BG721" s="20"/>
      <c r="BH721" s="20"/>
      <c r="BI721" s="21"/>
      <c r="BJ721" s="21"/>
    </row>
    <row r="722" spans="1:62" ht="15.75" customHeight="1">
      <c r="A722" s="3"/>
      <c r="B722" s="3"/>
      <c r="C722" s="3"/>
      <c r="D722" s="3"/>
      <c r="E722" s="3"/>
      <c r="F722" s="3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  <c r="AN722" s="20"/>
      <c r="AO722" s="20"/>
      <c r="AP722" s="20"/>
      <c r="AQ722" s="20"/>
      <c r="AR722" s="20"/>
      <c r="AS722" s="20"/>
      <c r="AT722" s="20"/>
      <c r="AU722" s="20"/>
      <c r="AV722" s="20"/>
      <c r="AW722" s="20"/>
      <c r="AX722" s="20"/>
      <c r="AY722" s="20"/>
      <c r="AZ722" s="20"/>
      <c r="BA722" s="20"/>
      <c r="BB722" s="20"/>
      <c r="BC722" s="20"/>
      <c r="BD722" s="20"/>
      <c r="BE722" s="20"/>
      <c r="BF722" s="20"/>
      <c r="BG722" s="20"/>
      <c r="BH722" s="20"/>
      <c r="BI722" s="21"/>
      <c r="BJ722" s="21"/>
    </row>
    <row r="723" spans="1:62" ht="15.75" customHeight="1">
      <c r="A723" s="3"/>
      <c r="B723" s="3"/>
      <c r="C723" s="3"/>
      <c r="D723" s="3"/>
      <c r="E723" s="3"/>
      <c r="F723" s="3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  <c r="AN723" s="20"/>
      <c r="AO723" s="20"/>
      <c r="AP723" s="20"/>
      <c r="AQ723" s="20"/>
      <c r="AR723" s="20"/>
      <c r="AS723" s="20"/>
      <c r="AT723" s="20"/>
      <c r="AU723" s="20"/>
      <c r="AV723" s="20"/>
      <c r="AW723" s="20"/>
      <c r="AX723" s="20"/>
      <c r="AY723" s="20"/>
      <c r="AZ723" s="20"/>
      <c r="BA723" s="20"/>
      <c r="BB723" s="20"/>
      <c r="BC723" s="20"/>
      <c r="BD723" s="20"/>
      <c r="BE723" s="20"/>
      <c r="BF723" s="20"/>
      <c r="BG723" s="20"/>
      <c r="BH723" s="20"/>
      <c r="BI723" s="21"/>
      <c r="BJ723" s="21"/>
    </row>
    <row r="724" spans="1:62" ht="15.75" customHeight="1">
      <c r="A724" s="3"/>
      <c r="B724" s="3"/>
      <c r="C724" s="3"/>
      <c r="D724" s="3"/>
      <c r="E724" s="3"/>
      <c r="F724" s="3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  <c r="AN724" s="20"/>
      <c r="AO724" s="20"/>
      <c r="AP724" s="20"/>
      <c r="AQ724" s="20"/>
      <c r="AR724" s="20"/>
      <c r="AS724" s="20"/>
      <c r="AT724" s="20"/>
      <c r="AU724" s="20"/>
      <c r="AV724" s="20"/>
      <c r="AW724" s="20"/>
      <c r="AX724" s="20"/>
      <c r="AY724" s="20"/>
      <c r="AZ724" s="20"/>
      <c r="BA724" s="20"/>
      <c r="BB724" s="20"/>
      <c r="BC724" s="20"/>
      <c r="BD724" s="20"/>
      <c r="BE724" s="20"/>
      <c r="BF724" s="20"/>
      <c r="BG724" s="20"/>
      <c r="BH724" s="20"/>
      <c r="BI724" s="21"/>
      <c r="BJ724" s="21"/>
    </row>
    <row r="725" spans="1:62" ht="15.75" customHeight="1">
      <c r="A725" s="3"/>
      <c r="B725" s="3"/>
      <c r="C725" s="3"/>
      <c r="D725" s="3"/>
      <c r="E725" s="3"/>
      <c r="F725" s="3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  <c r="BB725" s="20"/>
      <c r="BC725" s="20"/>
      <c r="BD725" s="20"/>
      <c r="BE725" s="20"/>
      <c r="BF725" s="20"/>
      <c r="BG725" s="20"/>
      <c r="BH725" s="20"/>
      <c r="BI725" s="21"/>
      <c r="BJ725" s="21"/>
    </row>
    <row r="726" spans="1:62" ht="15.75" customHeight="1">
      <c r="A726" s="3"/>
      <c r="B726" s="3"/>
      <c r="C726" s="3"/>
      <c r="D726" s="3"/>
      <c r="E726" s="3"/>
      <c r="F726" s="3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  <c r="BB726" s="20"/>
      <c r="BC726" s="20"/>
      <c r="BD726" s="20"/>
      <c r="BE726" s="20"/>
      <c r="BF726" s="20"/>
      <c r="BG726" s="20"/>
      <c r="BH726" s="20"/>
      <c r="BI726" s="21"/>
      <c r="BJ726" s="21"/>
    </row>
    <row r="727" spans="1:62" ht="15.75" customHeight="1">
      <c r="A727" s="3"/>
      <c r="B727" s="3"/>
      <c r="C727" s="3"/>
      <c r="D727" s="3"/>
      <c r="E727" s="3"/>
      <c r="F727" s="3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  <c r="BB727" s="20"/>
      <c r="BC727" s="20"/>
      <c r="BD727" s="20"/>
      <c r="BE727" s="20"/>
      <c r="BF727" s="20"/>
      <c r="BG727" s="20"/>
      <c r="BH727" s="20"/>
      <c r="BI727" s="21"/>
      <c r="BJ727" s="21"/>
    </row>
    <row r="728" spans="1:62" ht="15.75" customHeight="1">
      <c r="A728" s="3"/>
      <c r="B728" s="3"/>
      <c r="C728" s="3"/>
      <c r="D728" s="3"/>
      <c r="E728" s="3"/>
      <c r="F728" s="3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  <c r="BB728" s="20"/>
      <c r="BC728" s="20"/>
      <c r="BD728" s="20"/>
      <c r="BE728" s="20"/>
      <c r="BF728" s="20"/>
      <c r="BG728" s="20"/>
      <c r="BH728" s="20"/>
      <c r="BI728" s="21"/>
      <c r="BJ728" s="21"/>
    </row>
    <row r="729" spans="1:62" ht="15.75" customHeight="1">
      <c r="A729" s="3"/>
      <c r="B729" s="3"/>
      <c r="C729" s="3"/>
      <c r="D729" s="3"/>
      <c r="E729" s="3"/>
      <c r="F729" s="3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  <c r="BB729" s="20"/>
      <c r="BC729" s="20"/>
      <c r="BD729" s="20"/>
      <c r="BE729" s="20"/>
      <c r="BF729" s="20"/>
      <c r="BG729" s="20"/>
      <c r="BH729" s="20"/>
      <c r="BI729" s="21"/>
      <c r="BJ729" s="21"/>
    </row>
    <row r="730" spans="1:62" ht="15.75" customHeight="1">
      <c r="A730" s="3"/>
      <c r="B730" s="3"/>
      <c r="C730" s="3"/>
      <c r="D730" s="3"/>
      <c r="E730" s="3"/>
      <c r="F730" s="3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  <c r="BB730" s="20"/>
      <c r="BC730" s="20"/>
      <c r="BD730" s="20"/>
      <c r="BE730" s="20"/>
      <c r="BF730" s="20"/>
      <c r="BG730" s="20"/>
      <c r="BH730" s="20"/>
      <c r="BI730" s="21"/>
      <c r="BJ730" s="21"/>
    </row>
    <row r="731" spans="1:62" ht="15.75" customHeight="1">
      <c r="A731" s="3"/>
      <c r="B731" s="3"/>
      <c r="C731" s="3"/>
      <c r="D731" s="3"/>
      <c r="E731" s="3"/>
      <c r="F731" s="3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  <c r="BB731" s="20"/>
      <c r="BC731" s="20"/>
      <c r="BD731" s="20"/>
      <c r="BE731" s="20"/>
      <c r="BF731" s="20"/>
      <c r="BG731" s="20"/>
      <c r="BH731" s="20"/>
      <c r="BI731" s="21"/>
      <c r="BJ731" s="21"/>
    </row>
    <row r="732" spans="1:62" ht="15.75" customHeight="1">
      <c r="A732" s="3"/>
      <c r="B732" s="3"/>
      <c r="C732" s="3"/>
      <c r="D732" s="3"/>
      <c r="E732" s="3"/>
      <c r="F732" s="3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  <c r="BB732" s="20"/>
      <c r="BC732" s="20"/>
      <c r="BD732" s="20"/>
      <c r="BE732" s="20"/>
      <c r="BF732" s="20"/>
      <c r="BG732" s="20"/>
      <c r="BH732" s="20"/>
      <c r="BI732" s="21"/>
      <c r="BJ732" s="21"/>
    </row>
    <row r="733" spans="1:62" ht="15.75" customHeight="1">
      <c r="A733" s="3"/>
      <c r="B733" s="3"/>
      <c r="C733" s="3"/>
      <c r="D733" s="3"/>
      <c r="E733" s="3"/>
      <c r="F733" s="3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  <c r="BB733" s="20"/>
      <c r="BC733" s="20"/>
      <c r="BD733" s="20"/>
      <c r="BE733" s="20"/>
      <c r="BF733" s="20"/>
      <c r="BG733" s="20"/>
      <c r="BH733" s="20"/>
      <c r="BI733" s="21"/>
      <c r="BJ733" s="21"/>
    </row>
    <row r="734" spans="1:62" ht="15.75" customHeight="1">
      <c r="A734" s="3"/>
      <c r="B734" s="3"/>
      <c r="C734" s="3"/>
      <c r="D734" s="3"/>
      <c r="E734" s="3"/>
      <c r="F734" s="3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  <c r="BB734" s="20"/>
      <c r="BC734" s="20"/>
      <c r="BD734" s="20"/>
      <c r="BE734" s="20"/>
      <c r="BF734" s="20"/>
      <c r="BG734" s="20"/>
      <c r="BH734" s="20"/>
      <c r="BI734" s="21"/>
      <c r="BJ734" s="21"/>
    </row>
    <row r="735" spans="1:62" ht="15.75" customHeight="1">
      <c r="A735" s="3"/>
      <c r="B735" s="3"/>
      <c r="C735" s="3"/>
      <c r="D735" s="3"/>
      <c r="E735" s="3"/>
      <c r="F735" s="3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  <c r="BB735" s="20"/>
      <c r="BC735" s="20"/>
      <c r="BD735" s="20"/>
      <c r="BE735" s="20"/>
      <c r="BF735" s="20"/>
      <c r="BG735" s="20"/>
      <c r="BH735" s="20"/>
      <c r="BI735" s="21"/>
      <c r="BJ735" s="21"/>
    </row>
    <row r="736" spans="1:62" ht="15.75" customHeight="1">
      <c r="A736" s="3"/>
      <c r="B736" s="3"/>
      <c r="C736" s="3"/>
      <c r="D736" s="3"/>
      <c r="E736" s="3"/>
      <c r="F736" s="3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  <c r="BB736" s="20"/>
      <c r="BC736" s="20"/>
      <c r="BD736" s="20"/>
      <c r="BE736" s="20"/>
      <c r="BF736" s="20"/>
      <c r="BG736" s="20"/>
      <c r="BH736" s="20"/>
      <c r="BI736" s="21"/>
      <c r="BJ736" s="21"/>
    </row>
    <row r="737" spans="1:62" ht="15.75" customHeight="1">
      <c r="A737" s="3"/>
      <c r="B737" s="3"/>
      <c r="C737" s="3"/>
      <c r="D737" s="3"/>
      <c r="E737" s="3"/>
      <c r="F737" s="3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  <c r="BB737" s="20"/>
      <c r="BC737" s="20"/>
      <c r="BD737" s="20"/>
      <c r="BE737" s="20"/>
      <c r="BF737" s="20"/>
      <c r="BG737" s="20"/>
      <c r="BH737" s="20"/>
      <c r="BI737" s="21"/>
      <c r="BJ737" s="21"/>
    </row>
    <row r="738" spans="1:62" ht="15.75" customHeight="1">
      <c r="A738" s="3"/>
      <c r="B738" s="3"/>
      <c r="C738" s="3"/>
      <c r="D738" s="3"/>
      <c r="E738" s="3"/>
      <c r="F738" s="3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  <c r="BB738" s="20"/>
      <c r="BC738" s="20"/>
      <c r="BD738" s="20"/>
      <c r="BE738" s="20"/>
      <c r="BF738" s="20"/>
      <c r="BG738" s="20"/>
      <c r="BH738" s="20"/>
      <c r="BI738" s="21"/>
      <c r="BJ738" s="21"/>
    </row>
    <row r="739" spans="1:62" ht="15.75" customHeight="1">
      <c r="A739" s="3"/>
      <c r="B739" s="3"/>
      <c r="C739" s="3"/>
      <c r="D739" s="3"/>
      <c r="E739" s="3"/>
      <c r="F739" s="3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  <c r="BB739" s="20"/>
      <c r="BC739" s="20"/>
      <c r="BD739" s="20"/>
      <c r="BE739" s="20"/>
      <c r="BF739" s="20"/>
      <c r="BG739" s="20"/>
      <c r="BH739" s="20"/>
      <c r="BI739" s="21"/>
      <c r="BJ739" s="21"/>
    </row>
    <row r="740" spans="1:62" ht="15.75" customHeight="1">
      <c r="A740" s="3"/>
      <c r="B740" s="3"/>
      <c r="C740" s="3"/>
      <c r="D740" s="3"/>
      <c r="E740" s="3"/>
      <c r="F740" s="3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  <c r="AN740" s="20"/>
      <c r="AO740" s="20"/>
      <c r="AP740" s="20"/>
      <c r="AQ740" s="20"/>
      <c r="AR740" s="20"/>
      <c r="AS740" s="20"/>
      <c r="AT740" s="20"/>
      <c r="AU740" s="20"/>
      <c r="AV740" s="20"/>
      <c r="AW740" s="20"/>
      <c r="AX740" s="20"/>
      <c r="AY740" s="20"/>
      <c r="AZ740" s="20"/>
      <c r="BA740" s="20"/>
      <c r="BB740" s="20"/>
      <c r="BC740" s="20"/>
      <c r="BD740" s="20"/>
      <c r="BE740" s="20"/>
      <c r="BF740" s="20"/>
      <c r="BG740" s="20"/>
      <c r="BH740" s="20"/>
      <c r="BI740" s="21"/>
      <c r="BJ740" s="21"/>
    </row>
    <row r="741" spans="1:62" ht="15.75" customHeight="1">
      <c r="A741" s="3"/>
      <c r="B741" s="3"/>
      <c r="C741" s="3"/>
      <c r="D741" s="3"/>
      <c r="E741" s="3"/>
      <c r="F741" s="3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  <c r="BB741" s="20"/>
      <c r="BC741" s="20"/>
      <c r="BD741" s="20"/>
      <c r="BE741" s="20"/>
      <c r="BF741" s="20"/>
      <c r="BG741" s="20"/>
      <c r="BH741" s="20"/>
      <c r="BI741" s="21"/>
      <c r="BJ741" s="21"/>
    </row>
    <row r="742" spans="1:62" ht="15.75" customHeight="1">
      <c r="A742" s="3"/>
      <c r="B742" s="3"/>
      <c r="C742" s="3"/>
      <c r="D742" s="3"/>
      <c r="E742" s="3"/>
      <c r="F742" s="3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  <c r="AN742" s="20"/>
      <c r="AO742" s="20"/>
      <c r="AP742" s="20"/>
      <c r="AQ742" s="20"/>
      <c r="AR742" s="20"/>
      <c r="AS742" s="20"/>
      <c r="AT742" s="20"/>
      <c r="AU742" s="20"/>
      <c r="AV742" s="20"/>
      <c r="AW742" s="20"/>
      <c r="AX742" s="20"/>
      <c r="AY742" s="20"/>
      <c r="AZ742" s="20"/>
      <c r="BA742" s="20"/>
      <c r="BB742" s="20"/>
      <c r="BC742" s="20"/>
      <c r="BD742" s="20"/>
      <c r="BE742" s="20"/>
      <c r="BF742" s="20"/>
      <c r="BG742" s="20"/>
      <c r="BH742" s="20"/>
      <c r="BI742" s="21"/>
      <c r="BJ742" s="21"/>
    </row>
    <row r="743" spans="1:62" ht="15.75" customHeight="1">
      <c r="A743" s="3"/>
      <c r="B743" s="3"/>
      <c r="C743" s="3"/>
      <c r="D743" s="3"/>
      <c r="E743" s="3"/>
      <c r="F743" s="3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  <c r="AN743" s="20"/>
      <c r="AO743" s="20"/>
      <c r="AP743" s="20"/>
      <c r="AQ743" s="20"/>
      <c r="AR743" s="20"/>
      <c r="AS743" s="20"/>
      <c r="AT743" s="20"/>
      <c r="AU743" s="20"/>
      <c r="AV743" s="20"/>
      <c r="AW743" s="20"/>
      <c r="AX743" s="20"/>
      <c r="AY743" s="20"/>
      <c r="AZ743" s="20"/>
      <c r="BA743" s="20"/>
      <c r="BB743" s="20"/>
      <c r="BC743" s="20"/>
      <c r="BD743" s="20"/>
      <c r="BE743" s="20"/>
      <c r="BF743" s="20"/>
      <c r="BG743" s="20"/>
      <c r="BH743" s="20"/>
      <c r="BI743" s="21"/>
      <c r="BJ743" s="21"/>
    </row>
    <row r="744" spans="1:62" ht="15.75" customHeight="1">
      <c r="A744" s="3"/>
      <c r="B744" s="3"/>
      <c r="C744" s="3"/>
      <c r="D744" s="3"/>
      <c r="E744" s="3"/>
      <c r="F744" s="3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  <c r="BB744" s="20"/>
      <c r="BC744" s="20"/>
      <c r="BD744" s="20"/>
      <c r="BE744" s="20"/>
      <c r="BF744" s="20"/>
      <c r="BG744" s="20"/>
      <c r="BH744" s="20"/>
      <c r="BI744" s="21"/>
      <c r="BJ744" s="21"/>
    </row>
    <row r="745" spans="1:62" ht="15.75" customHeight="1">
      <c r="A745" s="3"/>
      <c r="B745" s="3"/>
      <c r="C745" s="3"/>
      <c r="D745" s="3"/>
      <c r="E745" s="3"/>
      <c r="F745" s="3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  <c r="AN745" s="20"/>
      <c r="AO745" s="20"/>
      <c r="AP745" s="20"/>
      <c r="AQ745" s="20"/>
      <c r="AR745" s="20"/>
      <c r="AS745" s="20"/>
      <c r="AT745" s="20"/>
      <c r="AU745" s="20"/>
      <c r="AV745" s="20"/>
      <c r="AW745" s="20"/>
      <c r="AX745" s="20"/>
      <c r="AY745" s="20"/>
      <c r="AZ745" s="20"/>
      <c r="BA745" s="20"/>
      <c r="BB745" s="20"/>
      <c r="BC745" s="20"/>
      <c r="BD745" s="20"/>
      <c r="BE745" s="20"/>
      <c r="BF745" s="20"/>
      <c r="BG745" s="20"/>
      <c r="BH745" s="20"/>
      <c r="BI745" s="21"/>
      <c r="BJ745" s="21"/>
    </row>
    <row r="746" spans="1:62" ht="15.75" customHeight="1">
      <c r="A746" s="3"/>
      <c r="B746" s="3"/>
      <c r="C746" s="3"/>
      <c r="D746" s="3"/>
      <c r="E746" s="3"/>
      <c r="F746" s="3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  <c r="AN746" s="20"/>
      <c r="AO746" s="20"/>
      <c r="AP746" s="20"/>
      <c r="AQ746" s="20"/>
      <c r="AR746" s="20"/>
      <c r="AS746" s="20"/>
      <c r="AT746" s="20"/>
      <c r="AU746" s="20"/>
      <c r="AV746" s="20"/>
      <c r="AW746" s="20"/>
      <c r="AX746" s="20"/>
      <c r="AY746" s="20"/>
      <c r="AZ746" s="20"/>
      <c r="BA746" s="20"/>
      <c r="BB746" s="20"/>
      <c r="BC746" s="20"/>
      <c r="BD746" s="20"/>
      <c r="BE746" s="20"/>
      <c r="BF746" s="20"/>
      <c r="BG746" s="20"/>
      <c r="BH746" s="20"/>
      <c r="BI746" s="21"/>
      <c r="BJ746" s="21"/>
    </row>
    <row r="747" spans="1:62" ht="15.75" customHeight="1">
      <c r="A747" s="3"/>
      <c r="B747" s="3"/>
      <c r="C747" s="3"/>
      <c r="D747" s="3"/>
      <c r="E747" s="3"/>
      <c r="F747" s="3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1"/>
      <c r="BJ747" s="21"/>
    </row>
    <row r="748" spans="1:62" ht="15.75" customHeight="1">
      <c r="A748" s="3"/>
      <c r="B748" s="3"/>
      <c r="C748" s="3"/>
      <c r="D748" s="3"/>
      <c r="E748" s="3"/>
      <c r="F748" s="3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  <c r="AN748" s="20"/>
      <c r="AO748" s="20"/>
      <c r="AP748" s="20"/>
      <c r="AQ748" s="20"/>
      <c r="AR748" s="20"/>
      <c r="AS748" s="20"/>
      <c r="AT748" s="20"/>
      <c r="AU748" s="20"/>
      <c r="AV748" s="20"/>
      <c r="AW748" s="20"/>
      <c r="AX748" s="20"/>
      <c r="AY748" s="20"/>
      <c r="AZ748" s="20"/>
      <c r="BA748" s="20"/>
      <c r="BB748" s="20"/>
      <c r="BC748" s="20"/>
      <c r="BD748" s="20"/>
      <c r="BE748" s="20"/>
      <c r="BF748" s="20"/>
      <c r="BG748" s="20"/>
      <c r="BH748" s="20"/>
      <c r="BI748" s="21"/>
      <c r="BJ748" s="21"/>
    </row>
    <row r="749" spans="1:62" ht="15.75" customHeight="1">
      <c r="A749" s="3"/>
      <c r="B749" s="3"/>
      <c r="C749" s="3"/>
      <c r="D749" s="3"/>
      <c r="E749" s="3"/>
      <c r="F749" s="3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  <c r="AN749" s="20"/>
      <c r="AO749" s="20"/>
      <c r="AP749" s="20"/>
      <c r="AQ749" s="20"/>
      <c r="AR749" s="20"/>
      <c r="AS749" s="20"/>
      <c r="AT749" s="20"/>
      <c r="AU749" s="20"/>
      <c r="AV749" s="20"/>
      <c r="AW749" s="20"/>
      <c r="AX749" s="20"/>
      <c r="AY749" s="20"/>
      <c r="AZ749" s="20"/>
      <c r="BA749" s="20"/>
      <c r="BB749" s="20"/>
      <c r="BC749" s="20"/>
      <c r="BD749" s="20"/>
      <c r="BE749" s="20"/>
      <c r="BF749" s="20"/>
      <c r="BG749" s="20"/>
      <c r="BH749" s="20"/>
      <c r="BI749" s="21"/>
      <c r="BJ749" s="21"/>
    </row>
    <row r="750" spans="1:62" ht="15.75" customHeight="1">
      <c r="A750" s="3"/>
      <c r="B750" s="3"/>
      <c r="C750" s="3"/>
      <c r="D750" s="3"/>
      <c r="E750" s="3"/>
      <c r="F750" s="3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  <c r="AN750" s="20"/>
      <c r="AO750" s="20"/>
      <c r="AP750" s="20"/>
      <c r="AQ750" s="20"/>
      <c r="AR750" s="20"/>
      <c r="AS750" s="20"/>
      <c r="AT750" s="20"/>
      <c r="AU750" s="20"/>
      <c r="AV750" s="20"/>
      <c r="AW750" s="20"/>
      <c r="AX750" s="20"/>
      <c r="AY750" s="20"/>
      <c r="AZ750" s="20"/>
      <c r="BA750" s="20"/>
      <c r="BB750" s="20"/>
      <c r="BC750" s="20"/>
      <c r="BD750" s="20"/>
      <c r="BE750" s="20"/>
      <c r="BF750" s="20"/>
      <c r="BG750" s="20"/>
      <c r="BH750" s="20"/>
      <c r="BI750" s="21"/>
      <c r="BJ750" s="21"/>
    </row>
    <row r="751" spans="1:62" ht="15.75" customHeight="1">
      <c r="A751" s="3"/>
      <c r="B751" s="3"/>
      <c r="C751" s="3"/>
      <c r="D751" s="3"/>
      <c r="E751" s="3"/>
      <c r="F751" s="3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  <c r="AN751" s="20"/>
      <c r="AO751" s="20"/>
      <c r="AP751" s="20"/>
      <c r="AQ751" s="20"/>
      <c r="AR751" s="20"/>
      <c r="AS751" s="20"/>
      <c r="AT751" s="20"/>
      <c r="AU751" s="20"/>
      <c r="AV751" s="20"/>
      <c r="AW751" s="20"/>
      <c r="AX751" s="20"/>
      <c r="AY751" s="20"/>
      <c r="AZ751" s="20"/>
      <c r="BA751" s="20"/>
      <c r="BB751" s="20"/>
      <c r="BC751" s="20"/>
      <c r="BD751" s="20"/>
      <c r="BE751" s="20"/>
      <c r="BF751" s="20"/>
      <c r="BG751" s="20"/>
      <c r="BH751" s="20"/>
      <c r="BI751" s="21"/>
      <c r="BJ751" s="21"/>
    </row>
    <row r="752" spans="1:62" ht="15.75" customHeight="1">
      <c r="A752" s="3"/>
      <c r="B752" s="3"/>
      <c r="C752" s="3"/>
      <c r="D752" s="3"/>
      <c r="E752" s="3"/>
      <c r="F752" s="3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  <c r="AN752" s="20"/>
      <c r="AO752" s="20"/>
      <c r="AP752" s="20"/>
      <c r="AQ752" s="20"/>
      <c r="AR752" s="20"/>
      <c r="AS752" s="20"/>
      <c r="AT752" s="20"/>
      <c r="AU752" s="20"/>
      <c r="AV752" s="20"/>
      <c r="AW752" s="20"/>
      <c r="AX752" s="20"/>
      <c r="AY752" s="20"/>
      <c r="AZ752" s="20"/>
      <c r="BA752" s="20"/>
      <c r="BB752" s="20"/>
      <c r="BC752" s="20"/>
      <c r="BD752" s="20"/>
      <c r="BE752" s="20"/>
      <c r="BF752" s="20"/>
      <c r="BG752" s="20"/>
      <c r="BH752" s="20"/>
      <c r="BI752" s="21"/>
      <c r="BJ752" s="21"/>
    </row>
    <row r="753" spans="1:62" ht="15.75" customHeight="1">
      <c r="A753" s="3"/>
      <c r="B753" s="3"/>
      <c r="C753" s="3"/>
      <c r="D753" s="3"/>
      <c r="E753" s="3"/>
      <c r="F753" s="3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  <c r="AN753" s="20"/>
      <c r="AO753" s="20"/>
      <c r="AP753" s="20"/>
      <c r="AQ753" s="20"/>
      <c r="AR753" s="20"/>
      <c r="AS753" s="20"/>
      <c r="AT753" s="20"/>
      <c r="AU753" s="20"/>
      <c r="AV753" s="20"/>
      <c r="AW753" s="20"/>
      <c r="AX753" s="20"/>
      <c r="AY753" s="20"/>
      <c r="AZ753" s="20"/>
      <c r="BA753" s="20"/>
      <c r="BB753" s="20"/>
      <c r="BC753" s="20"/>
      <c r="BD753" s="20"/>
      <c r="BE753" s="20"/>
      <c r="BF753" s="20"/>
      <c r="BG753" s="20"/>
      <c r="BH753" s="20"/>
      <c r="BI753" s="21"/>
      <c r="BJ753" s="21"/>
    </row>
    <row r="754" spans="1:62" ht="15.75" customHeight="1">
      <c r="A754" s="3"/>
      <c r="B754" s="3"/>
      <c r="C754" s="3"/>
      <c r="D754" s="3"/>
      <c r="E754" s="3"/>
      <c r="F754" s="3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  <c r="AN754" s="20"/>
      <c r="AO754" s="20"/>
      <c r="AP754" s="20"/>
      <c r="AQ754" s="20"/>
      <c r="AR754" s="20"/>
      <c r="AS754" s="20"/>
      <c r="AT754" s="20"/>
      <c r="AU754" s="20"/>
      <c r="AV754" s="20"/>
      <c r="AW754" s="20"/>
      <c r="AX754" s="20"/>
      <c r="AY754" s="20"/>
      <c r="AZ754" s="20"/>
      <c r="BA754" s="20"/>
      <c r="BB754" s="20"/>
      <c r="BC754" s="20"/>
      <c r="BD754" s="20"/>
      <c r="BE754" s="20"/>
      <c r="BF754" s="20"/>
      <c r="BG754" s="20"/>
      <c r="BH754" s="20"/>
      <c r="BI754" s="21"/>
      <c r="BJ754" s="21"/>
    </row>
    <row r="755" spans="1:62" ht="15.75" customHeight="1">
      <c r="A755" s="3"/>
      <c r="B755" s="3"/>
      <c r="C755" s="3"/>
      <c r="D755" s="3"/>
      <c r="E755" s="3"/>
      <c r="F755" s="3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  <c r="AN755" s="20"/>
      <c r="AO755" s="20"/>
      <c r="AP755" s="20"/>
      <c r="AQ755" s="20"/>
      <c r="AR755" s="20"/>
      <c r="AS755" s="20"/>
      <c r="AT755" s="20"/>
      <c r="AU755" s="20"/>
      <c r="AV755" s="20"/>
      <c r="AW755" s="20"/>
      <c r="AX755" s="20"/>
      <c r="AY755" s="20"/>
      <c r="AZ755" s="20"/>
      <c r="BA755" s="20"/>
      <c r="BB755" s="20"/>
      <c r="BC755" s="20"/>
      <c r="BD755" s="20"/>
      <c r="BE755" s="20"/>
      <c r="BF755" s="20"/>
      <c r="BG755" s="20"/>
      <c r="BH755" s="20"/>
      <c r="BI755" s="21"/>
      <c r="BJ755" s="21"/>
    </row>
    <row r="756" spans="1:62" ht="15.75" customHeight="1">
      <c r="A756" s="3"/>
      <c r="B756" s="3"/>
      <c r="C756" s="3"/>
      <c r="D756" s="3"/>
      <c r="E756" s="3"/>
      <c r="F756" s="3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  <c r="AN756" s="20"/>
      <c r="AO756" s="20"/>
      <c r="AP756" s="20"/>
      <c r="AQ756" s="20"/>
      <c r="AR756" s="20"/>
      <c r="AS756" s="20"/>
      <c r="AT756" s="20"/>
      <c r="AU756" s="20"/>
      <c r="AV756" s="20"/>
      <c r="AW756" s="20"/>
      <c r="AX756" s="20"/>
      <c r="AY756" s="20"/>
      <c r="AZ756" s="20"/>
      <c r="BA756" s="20"/>
      <c r="BB756" s="20"/>
      <c r="BC756" s="20"/>
      <c r="BD756" s="20"/>
      <c r="BE756" s="20"/>
      <c r="BF756" s="20"/>
      <c r="BG756" s="20"/>
      <c r="BH756" s="20"/>
      <c r="BI756" s="21"/>
      <c r="BJ756" s="21"/>
    </row>
    <row r="757" spans="1:62" ht="15.75" customHeight="1">
      <c r="A757" s="3"/>
      <c r="B757" s="3"/>
      <c r="C757" s="3"/>
      <c r="D757" s="3"/>
      <c r="E757" s="3"/>
      <c r="F757" s="3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  <c r="AN757" s="20"/>
      <c r="AO757" s="20"/>
      <c r="AP757" s="20"/>
      <c r="AQ757" s="20"/>
      <c r="AR757" s="20"/>
      <c r="AS757" s="20"/>
      <c r="AT757" s="20"/>
      <c r="AU757" s="20"/>
      <c r="AV757" s="20"/>
      <c r="AW757" s="20"/>
      <c r="AX757" s="20"/>
      <c r="AY757" s="20"/>
      <c r="AZ757" s="20"/>
      <c r="BA757" s="20"/>
      <c r="BB757" s="20"/>
      <c r="BC757" s="20"/>
      <c r="BD757" s="20"/>
      <c r="BE757" s="20"/>
      <c r="BF757" s="20"/>
      <c r="BG757" s="20"/>
      <c r="BH757" s="20"/>
      <c r="BI757" s="21"/>
      <c r="BJ757" s="21"/>
    </row>
    <row r="758" spans="1:62" ht="15.75" customHeight="1">
      <c r="A758" s="3"/>
      <c r="B758" s="3"/>
      <c r="C758" s="3"/>
      <c r="D758" s="3"/>
      <c r="E758" s="3"/>
      <c r="F758" s="3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1"/>
      <c r="BJ758" s="21"/>
    </row>
    <row r="759" spans="1:62" ht="15.75" customHeight="1">
      <c r="A759" s="3"/>
      <c r="B759" s="3"/>
      <c r="C759" s="3"/>
      <c r="D759" s="3"/>
      <c r="E759" s="3"/>
      <c r="F759" s="3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  <c r="AN759" s="20"/>
      <c r="AO759" s="20"/>
      <c r="AP759" s="20"/>
      <c r="AQ759" s="20"/>
      <c r="AR759" s="20"/>
      <c r="AS759" s="20"/>
      <c r="AT759" s="20"/>
      <c r="AU759" s="20"/>
      <c r="AV759" s="20"/>
      <c r="AW759" s="20"/>
      <c r="AX759" s="20"/>
      <c r="AY759" s="20"/>
      <c r="AZ759" s="20"/>
      <c r="BA759" s="20"/>
      <c r="BB759" s="20"/>
      <c r="BC759" s="20"/>
      <c r="BD759" s="20"/>
      <c r="BE759" s="20"/>
      <c r="BF759" s="20"/>
      <c r="BG759" s="20"/>
      <c r="BH759" s="20"/>
      <c r="BI759" s="21"/>
      <c r="BJ759" s="21"/>
    </row>
    <row r="760" spans="1:62" ht="15.75" customHeight="1">
      <c r="A760" s="3"/>
      <c r="B760" s="3"/>
      <c r="C760" s="3"/>
      <c r="D760" s="3"/>
      <c r="E760" s="3"/>
      <c r="F760" s="3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  <c r="AN760" s="20"/>
      <c r="AO760" s="20"/>
      <c r="AP760" s="20"/>
      <c r="AQ760" s="20"/>
      <c r="AR760" s="20"/>
      <c r="AS760" s="20"/>
      <c r="AT760" s="20"/>
      <c r="AU760" s="20"/>
      <c r="AV760" s="20"/>
      <c r="AW760" s="20"/>
      <c r="AX760" s="20"/>
      <c r="AY760" s="20"/>
      <c r="AZ760" s="20"/>
      <c r="BA760" s="20"/>
      <c r="BB760" s="20"/>
      <c r="BC760" s="20"/>
      <c r="BD760" s="20"/>
      <c r="BE760" s="20"/>
      <c r="BF760" s="20"/>
      <c r="BG760" s="20"/>
      <c r="BH760" s="20"/>
      <c r="BI760" s="21"/>
      <c r="BJ760" s="21"/>
    </row>
    <row r="761" spans="1:62" ht="15.75" customHeight="1">
      <c r="A761" s="3"/>
      <c r="B761" s="3"/>
      <c r="C761" s="3"/>
      <c r="D761" s="3"/>
      <c r="E761" s="3"/>
      <c r="F761" s="3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  <c r="AN761" s="20"/>
      <c r="AO761" s="20"/>
      <c r="AP761" s="20"/>
      <c r="AQ761" s="20"/>
      <c r="AR761" s="20"/>
      <c r="AS761" s="20"/>
      <c r="AT761" s="20"/>
      <c r="AU761" s="20"/>
      <c r="AV761" s="20"/>
      <c r="AW761" s="20"/>
      <c r="AX761" s="20"/>
      <c r="AY761" s="20"/>
      <c r="AZ761" s="20"/>
      <c r="BA761" s="20"/>
      <c r="BB761" s="20"/>
      <c r="BC761" s="20"/>
      <c r="BD761" s="20"/>
      <c r="BE761" s="20"/>
      <c r="BF761" s="20"/>
      <c r="BG761" s="20"/>
      <c r="BH761" s="20"/>
      <c r="BI761" s="21"/>
      <c r="BJ761" s="21"/>
    </row>
    <row r="762" spans="1:62" ht="15.75" customHeight="1">
      <c r="A762" s="3"/>
      <c r="B762" s="3"/>
      <c r="C762" s="3"/>
      <c r="D762" s="3"/>
      <c r="E762" s="3"/>
      <c r="F762" s="3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  <c r="AN762" s="20"/>
      <c r="AO762" s="20"/>
      <c r="AP762" s="20"/>
      <c r="AQ762" s="20"/>
      <c r="AR762" s="20"/>
      <c r="AS762" s="20"/>
      <c r="AT762" s="20"/>
      <c r="AU762" s="20"/>
      <c r="AV762" s="20"/>
      <c r="AW762" s="20"/>
      <c r="AX762" s="20"/>
      <c r="AY762" s="20"/>
      <c r="AZ762" s="20"/>
      <c r="BA762" s="20"/>
      <c r="BB762" s="20"/>
      <c r="BC762" s="20"/>
      <c r="BD762" s="20"/>
      <c r="BE762" s="20"/>
      <c r="BF762" s="20"/>
      <c r="BG762" s="20"/>
      <c r="BH762" s="20"/>
      <c r="BI762" s="21"/>
      <c r="BJ762" s="21"/>
    </row>
    <row r="763" spans="1:62" ht="15.75" customHeight="1">
      <c r="A763" s="3"/>
      <c r="B763" s="3"/>
      <c r="C763" s="3"/>
      <c r="D763" s="3"/>
      <c r="E763" s="3"/>
      <c r="F763" s="3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  <c r="BB763" s="20"/>
      <c r="BC763" s="20"/>
      <c r="BD763" s="20"/>
      <c r="BE763" s="20"/>
      <c r="BF763" s="20"/>
      <c r="BG763" s="20"/>
      <c r="BH763" s="20"/>
      <c r="BI763" s="21"/>
      <c r="BJ763" s="21"/>
    </row>
    <row r="764" spans="1:62" ht="15.75" customHeight="1">
      <c r="A764" s="3"/>
      <c r="B764" s="3"/>
      <c r="C764" s="3"/>
      <c r="D764" s="3"/>
      <c r="E764" s="3"/>
      <c r="F764" s="3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  <c r="BB764" s="20"/>
      <c r="BC764" s="20"/>
      <c r="BD764" s="20"/>
      <c r="BE764" s="20"/>
      <c r="BF764" s="20"/>
      <c r="BG764" s="20"/>
      <c r="BH764" s="20"/>
      <c r="BI764" s="21"/>
      <c r="BJ764" s="21"/>
    </row>
    <row r="765" spans="1:62" ht="15.75" customHeight="1">
      <c r="A765" s="3"/>
      <c r="B765" s="3"/>
      <c r="C765" s="3"/>
      <c r="D765" s="3"/>
      <c r="E765" s="3"/>
      <c r="F765" s="3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  <c r="BB765" s="20"/>
      <c r="BC765" s="20"/>
      <c r="BD765" s="20"/>
      <c r="BE765" s="20"/>
      <c r="BF765" s="20"/>
      <c r="BG765" s="20"/>
      <c r="BH765" s="20"/>
      <c r="BI765" s="21"/>
      <c r="BJ765" s="21"/>
    </row>
    <row r="766" spans="1:62" ht="15.75" customHeight="1">
      <c r="A766" s="3"/>
      <c r="B766" s="3"/>
      <c r="C766" s="3"/>
      <c r="D766" s="3"/>
      <c r="E766" s="3"/>
      <c r="F766" s="3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  <c r="BB766" s="20"/>
      <c r="BC766" s="20"/>
      <c r="BD766" s="20"/>
      <c r="BE766" s="20"/>
      <c r="BF766" s="20"/>
      <c r="BG766" s="20"/>
      <c r="BH766" s="20"/>
      <c r="BI766" s="21"/>
      <c r="BJ766" s="21"/>
    </row>
    <row r="767" spans="1:62" ht="15.75" customHeight="1">
      <c r="A767" s="3"/>
      <c r="B767" s="3"/>
      <c r="C767" s="3"/>
      <c r="D767" s="3"/>
      <c r="E767" s="3"/>
      <c r="F767" s="3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  <c r="BB767" s="20"/>
      <c r="BC767" s="20"/>
      <c r="BD767" s="20"/>
      <c r="BE767" s="20"/>
      <c r="BF767" s="20"/>
      <c r="BG767" s="20"/>
      <c r="BH767" s="20"/>
      <c r="BI767" s="21"/>
      <c r="BJ767" s="21"/>
    </row>
    <row r="768" spans="1:62" ht="15.75" customHeight="1">
      <c r="A768" s="3"/>
      <c r="B768" s="3"/>
      <c r="C768" s="3"/>
      <c r="D768" s="3"/>
      <c r="E768" s="3"/>
      <c r="F768" s="3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  <c r="BB768" s="20"/>
      <c r="BC768" s="20"/>
      <c r="BD768" s="20"/>
      <c r="BE768" s="20"/>
      <c r="BF768" s="20"/>
      <c r="BG768" s="20"/>
      <c r="BH768" s="20"/>
      <c r="BI768" s="21"/>
      <c r="BJ768" s="21"/>
    </row>
    <row r="769" spans="1:62" ht="15.75" customHeight="1">
      <c r="A769" s="3"/>
      <c r="B769" s="3"/>
      <c r="C769" s="3"/>
      <c r="D769" s="3"/>
      <c r="E769" s="3"/>
      <c r="F769" s="3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  <c r="BB769" s="20"/>
      <c r="BC769" s="20"/>
      <c r="BD769" s="20"/>
      <c r="BE769" s="20"/>
      <c r="BF769" s="20"/>
      <c r="BG769" s="20"/>
      <c r="BH769" s="20"/>
      <c r="BI769" s="21"/>
      <c r="BJ769" s="21"/>
    </row>
    <row r="770" spans="1:62" ht="15.75" customHeight="1">
      <c r="A770" s="3"/>
      <c r="B770" s="3"/>
      <c r="C770" s="3"/>
      <c r="D770" s="3"/>
      <c r="E770" s="3"/>
      <c r="F770" s="3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  <c r="BB770" s="20"/>
      <c r="BC770" s="20"/>
      <c r="BD770" s="20"/>
      <c r="BE770" s="20"/>
      <c r="BF770" s="20"/>
      <c r="BG770" s="20"/>
      <c r="BH770" s="20"/>
      <c r="BI770" s="21"/>
      <c r="BJ770" s="21"/>
    </row>
    <row r="771" spans="1:62" ht="15.75" customHeight="1">
      <c r="A771" s="3"/>
      <c r="B771" s="3"/>
      <c r="C771" s="3"/>
      <c r="D771" s="3"/>
      <c r="E771" s="3"/>
      <c r="F771" s="3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  <c r="BB771" s="20"/>
      <c r="BC771" s="20"/>
      <c r="BD771" s="20"/>
      <c r="BE771" s="20"/>
      <c r="BF771" s="20"/>
      <c r="BG771" s="20"/>
      <c r="BH771" s="20"/>
      <c r="BI771" s="21"/>
      <c r="BJ771" s="21"/>
    </row>
    <row r="772" spans="1:62" ht="15.75" customHeight="1">
      <c r="A772" s="3"/>
      <c r="B772" s="3"/>
      <c r="C772" s="3"/>
      <c r="D772" s="3"/>
      <c r="E772" s="3"/>
      <c r="F772" s="3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  <c r="BB772" s="20"/>
      <c r="BC772" s="20"/>
      <c r="BD772" s="20"/>
      <c r="BE772" s="20"/>
      <c r="BF772" s="20"/>
      <c r="BG772" s="20"/>
      <c r="BH772" s="20"/>
      <c r="BI772" s="21"/>
      <c r="BJ772" s="21"/>
    </row>
    <row r="773" spans="1:62" ht="15.75" customHeight="1">
      <c r="A773" s="3"/>
      <c r="B773" s="3"/>
      <c r="C773" s="3"/>
      <c r="D773" s="3"/>
      <c r="E773" s="3"/>
      <c r="F773" s="3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  <c r="BB773" s="20"/>
      <c r="BC773" s="20"/>
      <c r="BD773" s="20"/>
      <c r="BE773" s="20"/>
      <c r="BF773" s="20"/>
      <c r="BG773" s="20"/>
      <c r="BH773" s="20"/>
      <c r="BI773" s="21"/>
      <c r="BJ773" s="21"/>
    </row>
    <row r="774" spans="1:62" ht="15.75" customHeight="1">
      <c r="A774" s="3"/>
      <c r="B774" s="3"/>
      <c r="C774" s="3"/>
      <c r="D774" s="3"/>
      <c r="E774" s="3"/>
      <c r="F774" s="3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  <c r="BB774" s="20"/>
      <c r="BC774" s="20"/>
      <c r="BD774" s="20"/>
      <c r="BE774" s="20"/>
      <c r="BF774" s="20"/>
      <c r="BG774" s="20"/>
      <c r="BH774" s="20"/>
      <c r="BI774" s="21"/>
      <c r="BJ774" s="21"/>
    </row>
    <row r="775" spans="1:62" ht="15.75" customHeight="1">
      <c r="A775" s="3"/>
      <c r="B775" s="3"/>
      <c r="C775" s="3"/>
      <c r="D775" s="3"/>
      <c r="E775" s="3"/>
      <c r="F775" s="3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  <c r="BB775" s="20"/>
      <c r="BC775" s="20"/>
      <c r="BD775" s="20"/>
      <c r="BE775" s="20"/>
      <c r="BF775" s="20"/>
      <c r="BG775" s="20"/>
      <c r="BH775" s="20"/>
      <c r="BI775" s="21"/>
      <c r="BJ775" s="21"/>
    </row>
    <row r="776" spans="1:62" ht="15.75" customHeight="1">
      <c r="A776" s="3"/>
      <c r="B776" s="3"/>
      <c r="C776" s="3"/>
      <c r="D776" s="3"/>
      <c r="E776" s="3"/>
      <c r="F776" s="3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  <c r="BB776" s="20"/>
      <c r="BC776" s="20"/>
      <c r="BD776" s="20"/>
      <c r="BE776" s="20"/>
      <c r="BF776" s="20"/>
      <c r="BG776" s="20"/>
      <c r="BH776" s="20"/>
      <c r="BI776" s="21"/>
      <c r="BJ776" s="21"/>
    </row>
    <row r="777" spans="1:62" ht="15.75" customHeight="1">
      <c r="A777" s="3"/>
      <c r="B777" s="3"/>
      <c r="C777" s="3"/>
      <c r="D777" s="3"/>
      <c r="E777" s="3"/>
      <c r="F777" s="3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  <c r="BB777" s="20"/>
      <c r="BC777" s="20"/>
      <c r="BD777" s="20"/>
      <c r="BE777" s="20"/>
      <c r="BF777" s="20"/>
      <c r="BG777" s="20"/>
      <c r="BH777" s="20"/>
      <c r="BI777" s="21"/>
      <c r="BJ777" s="21"/>
    </row>
    <row r="778" spans="1:62" ht="15.75" customHeight="1">
      <c r="A778" s="3"/>
      <c r="B778" s="3"/>
      <c r="C778" s="3"/>
      <c r="D778" s="3"/>
      <c r="E778" s="3"/>
      <c r="F778" s="3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  <c r="BB778" s="20"/>
      <c r="BC778" s="20"/>
      <c r="BD778" s="20"/>
      <c r="BE778" s="20"/>
      <c r="BF778" s="20"/>
      <c r="BG778" s="20"/>
      <c r="BH778" s="20"/>
      <c r="BI778" s="21"/>
      <c r="BJ778" s="21"/>
    </row>
    <row r="779" spans="1:62" ht="15.75" customHeight="1">
      <c r="A779" s="3"/>
      <c r="B779" s="3"/>
      <c r="C779" s="3"/>
      <c r="D779" s="3"/>
      <c r="E779" s="3"/>
      <c r="F779" s="3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  <c r="BB779" s="20"/>
      <c r="BC779" s="20"/>
      <c r="BD779" s="20"/>
      <c r="BE779" s="20"/>
      <c r="BF779" s="20"/>
      <c r="BG779" s="20"/>
      <c r="BH779" s="20"/>
      <c r="BI779" s="21"/>
      <c r="BJ779" s="21"/>
    </row>
    <row r="780" spans="1:62" ht="15.75" customHeight="1">
      <c r="A780" s="3"/>
      <c r="B780" s="3"/>
      <c r="C780" s="3"/>
      <c r="D780" s="3"/>
      <c r="E780" s="3"/>
      <c r="F780" s="3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  <c r="BB780" s="20"/>
      <c r="BC780" s="20"/>
      <c r="BD780" s="20"/>
      <c r="BE780" s="20"/>
      <c r="BF780" s="20"/>
      <c r="BG780" s="20"/>
      <c r="BH780" s="20"/>
      <c r="BI780" s="21"/>
      <c r="BJ780" s="21"/>
    </row>
    <row r="781" spans="1:62" ht="15.75" customHeight="1">
      <c r="A781" s="3"/>
      <c r="B781" s="3"/>
      <c r="C781" s="3"/>
      <c r="D781" s="3"/>
      <c r="E781" s="3"/>
      <c r="F781" s="3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  <c r="BB781" s="20"/>
      <c r="BC781" s="20"/>
      <c r="BD781" s="20"/>
      <c r="BE781" s="20"/>
      <c r="BF781" s="20"/>
      <c r="BG781" s="20"/>
      <c r="BH781" s="20"/>
      <c r="BI781" s="21"/>
      <c r="BJ781" s="21"/>
    </row>
    <row r="782" spans="1:62" ht="15.75" customHeight="1">
      <c r="A782" s="3"/>
      <c r="B782" s="3"/>
      <c r="C782" s="3"/>
      <c r="D782" s="3"/>
      <c r="E782" s="3"/>
      <c r="F782" s="3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  <c r="BB782" s="20"/>
      <c r="BC782" s="20"/>
      <c r="BD782" s="20"/>
      <c r="BE782" s="20"/>
      <c r="BF782" s="20"/>
      <c r="BG782" s="20"/>
      <c r="BH782" s="20"/>
      <c r="BI782" s="21"/>
      <c r="BJ782" s="21"/>
    </row>
    <row r="783" spans="1:62" ht="15.75" customHeight="1">
      <c r="A783" s="3"/>
      <c r="B783" s="3"/>
      <c r="C783" s="3"/>
      <c r="D783" s="3"/>
      <c r="E783" s="3"/>
      <c r="F783" s="3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  <c r="BB783" s="20"/>
      <c r="BC783" s="20"/>
      <c r="BD783" s="20"/>
      <c r="BE783" s="20"/>
      <c r="BF783" s="20"/>
      <c r="BG783" s="20"/>
      <c r="BH783" s="20"/>
      <c r="BI783" s="21"/>
      <c r="BJ783" s="21"/>
    </row>
    <row r="784" spans="1:62" ht="15.75" customHeight="1">
      <c r="A784" s="3"/>
      <c r="B784" s="3"/>
      <c r="C784" s="3"/>
      <c r="D784" s="3"/>
      <c r="E784" s="3"/>
      <c r="F784" s="3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  <c r="BB784" s="20"/>
      <c r="BC784" s="20"/>
      <c r="BD784" s="20"/>
      <c r="BE784" s="20"/>
      <c r="BF784" s="20"/>
      <c r="BG784" s="20"/>
      <c r="BH784" s="20"/>
      <c r="BI784" s="21"/>
      <c r="BJ784" s="21"/>
    </row>
    <row r="785" spans="1:62" ht="15.75" customHeight="1">
      <c r="A785" s="3"/>
      <c r="B785" s="3"/>
      <c r="C785" s="3"/>
      <c r="D785" s="3"/>
      <c r="E785" s="3"/>
      <c r="F785" s="3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  <c r="BB785" s="20"/>
      <c r="BC785" s="20"/>
      <c r="BD785" s="20"/>
      <c r="BE785" s="20"/>
      <c r="BF785" s="20"/>
      <c r="BG785" s="20"/>
      <c r="BH785" s="20"/>
      <c r="BI785" s="21"/>
      <c r="BJ785" s="21"/>
    </row>
    <row r="786" spans="1:62" ht="15.75" customHeight="1">
      <c r="A786" s="3"/>
      <c r="B786" s="3"/>
      <c r="C786" s="3"/>
      <c r="D786" s="3"/>
      <c r="E786" s="3"/>
      <c r="F786" s="3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  <c r="AN786" s="20"/>
      <c r="AO786" s="20"/>
      <c r="AP786" s="20"/>
      <c r="AQ786" s="20"/>
      <c r="AR786" s="20"/>
      <c r="AS786" s="20"/>
      <c r="AT786" s="20"/>
      <c r="AU786" s="20"/>
      <c r="AV786" s="20"/>
      <c r="AW786" s="20"/>
      <c r="AX786" s="20"/>
      <c r="AY786" s="20"/>
      <c r="AZ786" s="20"/>
      <c r="BA786" s="20"/>
      <c r="BB786" s="20"/>
      <c r="BC786" s="20"/>
      <c r="BD786" s="20"/>
      <c r="BE786" s="20"/>
      <c r="BF786" s="20"/>
      <c r="BG786" s="20"/>
      <c r="BH786" s="20"/>
      <c r="BI786" s="21"/>
      <c r="BJ786" s="21"/>
    </row>
    <row r="787" spans="1:62" ht="15.75" customHeight="1">
      <c r="A787" s="3"/>
      <c r="B787" s="3"/>
      <c r="C787" s="3"/>
      <c r="D787" s="3"/>
      <c r="E787" s="3"/>
      <c r="F787" s="3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  <c r="AN787" s="20"/>
      <c r="AO787" s="20"/>
      <c r="AP787" s="20"/>
      <c r="AQ787" s="20"/>
      <c r="AR787" s="20"/>
      <c r="AS787" s="20"/>
      <c r="AT787" s="20"/>
      <c r="AU787" s="20"/>
      <c r="AV787" s="20"/>
      <c r="AW787" s="20"/>
      <c r="AX787" s="20"/>
      <c r="AY787" s="20"/>
      <c r="AZ787" s="20"/>
      <c r="BA787" s="20"/>
      <c r="BB787" s="20"/>
      <c r="BC787" s="20"/>
      <c r="BD787" s="20"/>
      <c r="BE787" s="20"/>
      <c r="BF787" s="20"/>
      <c r="BG787" s="20"/>
      <c r="BH787" s="20"/>
      <c r="BI787" s="21"/>
      <c r="BJ787" s="21"/>
    </row>
    <row r="788" spans="1:62" ht="15.75" customHeight="1">
      <c r="A788" s="3"/>
      <c r="B788" s="3"/>
      <c r="C788" s="3"/>
      <c r="D788" s="3"/>
      <c r="E788" s="3"/>
      <c r="F788" s="3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  <c r="AN788" s="20"/>
      <c r="AO788" s="20"/>
      <c r="AP788" s="20"/>
      <c r="AQ788" s="20"/>
      <c r="AR788" s="20"/>
      <c r="AS788" s="20"/>
      <c r="AT788" s="20"/>
      <c r="AU788" s="20"/>
      <c r="AV788" s="20"/>
      <c r="AW788" s="20"/>
      <c r="AX788" s="20"/>
      <c r="AY788" s="20"/>
      <c r="AZ788" s="20"/>
      <c r="BA788" s="20"/>
      <c r="BB788" s="20"/>
      <c r="BC788" s="20"/>
      <c r="BD788" s="20"/>
      <c r="BE788" s="20"/>
      <c r="BF788" s="20"/>
      <c r="BG788" s="20"/>
      <c r="BH788" s="20"/>
      <c r="BI788" s="21"/>
      <c r="BJ788" s="21"/>
    </row>
    <row r="789" spans="1:62" ht="15.75" customHeight="1">
      <c r="A789" s="3"/>
      <c r="B789" s="3"/>
      <c r="C789" s="3"/>
      <c r="D789" s="3"/>
      <c r="E789" s="3"/>
      <c r="F789" s="3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  <c r="AN789" s="20"/>
      <c r="AO789" s="20"/>
      <c r="AP789" s="20"/>
      <c r="AQ789" s="20"/>
      <c r="AR789" s="20"/>
      <c r="AS789" s="20"/>
      <c r="AT789" s="20"/>
      <c r="AU789" s="20"/>
      <c r="AV789" s="20"/>
      <c r="AW789" s="20"/>
      <c r="AX789" s="20"/>
      <c r="AY789" s="20"/>
      <c r="AZ789" s="20"/>
      <c r="BA789" s="20"/>
      <c r="BB789" s="20"/>
      <c r="BC789" s="20"/>
      <c r="BD789" s="20"/>
      <c r="BE789" s="20"/>
      <c r="BF789" s="20"/>
      <c r="BG789" s="20"/>
      <c r="BH789" s="20"/>
      <c r="BI789" s="21"/>
      <c r="BJ789" s="21"/>
    </row>
    <row r="790" spans="1:62" ht="15.75" customHeight="1">
      <c r="A790" s="3"/>
      <c r="B790" s="3"/>
      <c r="C790" s="3"/>
      <c r="D790" s="3"/>
      <c r="E790" s="3"/>
      <c r="F790" s="3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  <c r="AN790" s="20"/>
      <c r="AO790" s="20"/>
      <c r="AP790" s="20"/>
      <c r="AQ790" s="20"/>
      <c r="AR790" s="20"/>
      <c r="AS790" s="20"/>
      <c r="AT790" s="20"/>
      <c r="AU790" s="20"/>
      <c r="AV790" s="20"/>
      <c r="AW790" s="20"/>
      <c r="AX790" s="20"/>
      <c r="AY790" s="20"/>
      <c r="AZ790" s="20"/>
      <c r="BA790" s="20"/>
      <c r="BB790" s="20"/>
      <c r="BC790" s="20"/>
      <c r="BD790" s="20"/>
      <c r="BE790" s="20"/>
      <c r="BF790" s="20"/>
      <c r="BG790" s="20"/>
      <c r="BH790" s="20"/>
      <c r="BI790" s="21"/>
      <c r="BJ790" s="21"/>
    </row>
    <row r="791" spans="1:62" ht="15.75" customHeight="1">
      <c r="A791" s="3"/>
      <c r="B791" s="3"/>
      <c r="C791" s="3"/>
      <c r="D791" s="3"/>
      <c r="E791" s="3"/>
      <c r="F791" s="3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  <c r="AN791" s="20"/>
      <c r="AO791" s="20"/>
      <c r="AP791" s="20"/>
      <c r="AQ791" s="20"/>
      <c r="AR791" s="20"/>
      <c r="AS791" s="20"/>
      <c r="AT791" s="20"/>
      <c r="AU791" s="20"/>
      <c r="AV791" s="20"/>
      <c r="AW791" s="20"/>
      <c r="AX791" s="20"/>
      <c r="AY791" s="20"/>
      <c r="AZ791" s="20"/>
      <c r="BA791" s="20"/>
      <c r="BB791" s="20"/>
      <c r="BC791" s="20"/>
      <c r="BD791" s="20"/>
      <c r="BE791" s="20"/>
      <c r="BF791" s="20"/>
      <c r="BG791" s="20"/>
      <c r="BH791" s="20"/>
      <c r="BI791" s="21"/>
      <c r="BJ791" s="21"/>
    </row>
    <row r="792" spans="1:62" ht="15.75" customHeight="1">
      <c r="A792" s="3"/>
      <c r="B792" s="3"/>
      <c r="C792" s="3"/>
      <c r="D792" s="3"/>
      <c r="E792" s="3"/>
      <c r="F792" s="3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  <c r="AN792" s="20"/>
      <c r="AO792" s="20"/>
      <c r="AP792" s="20"/>
      <c r="AQ792" s="20"/>
      <c r="AR792" s="20"/>
      <c r="AS792" s="20"/>
      <c r="AT792" s="20"/>
      <c r="AU792" s="20"/>
      <c r="AV792" s="20"/>
      <c r="AW792" s="20"/>
      <c r="AX792" s="20"/>
      <c r="AY792" s="20"/>
      <c r="AZ792" s="20"/>
      <c r="BA792" s="20"/>
      <c r="BB792" s="20"/>
      <c r="BC792" s="20"/>
      <c r="BD792" s="20"/>
      <c r="BE792" s="20"/>
      <c r="BF792" s="20"/>
      <c r="BG792" s="20"/>
      <c r="BH792" s="20"/>
      <c r="BI792" s="21"/>
      <c r="BJ792" s="21"/>
    </row>
    <row r="793" spans="1:62" ht="15.75" customHeight="1">
      <c r="A793" s="3"/>
      <c r="B793" s="3"/>
      <c r="C793" s="3"/>
      <c r="D793" s="3"/>
      <c r="E793" s="3"/>
      <c r="F793" s="3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  <c r="AN793" s="20"/>
      <c r="AO793" s="20"/>
      <c r="AP793" s="20"/>
      <c r="AQ793" s="20"/>
      <c r="AR793" s="20"/>
      <c r="AS793" s="20"/>
      <c r="AT793" s="20"/>
      <c r="AU793" s="20"/>
      <c r="AV793" s="20"/>
      <c r="AW793" s="20"/>
      <c r="AX793" s="20"/>
      <c r="AY793" s="20"/>
      <c r="AZ793" s="20"/>
      <c r="BA793" s="20"/>
      <c r="BB793" s="20"/>
      <c r="BC793" s="20"/>
      <c r="BD793" s="20"/>
      <c r="BE793" s="20"/>
      <c r="BF793" s="20"/>
      <c r="BG793" s="20"/>
      <c r="BH793" s="20"/>
      <c r="BI793" s="21"/>
      <c r="BJ793" s="21"/>
    </row>
    <row r="794" spans="1:62" ht="15.75" customHeight="1">
      <c r="A794" s="3"/>
      <c r="B794" s="3"/>
      <c r="C794" s="3"/>
      <c r="D794" s="3"/>
      <c r="E794" s="3"/>
      <c r="F794" s="3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  <c r="AN794" s="20"/>
      <c r="AO794" s="20"/>
      <c r="AP794" s="20"/>
      <c r="AQ794" s="20"/>
      <c r="AR794" s="20"/>
      <c r="AS794" s="20"/>
      <c r="AT794" s="20"/>
      <c r="AU794" s="20"/>
      <c r="AV794" s="20"/>
      <c r="AW794" s="20"/>
      <c r="AX794" s="20"/>
      <c r="AY794" s="20"/>
      <c r="AZ794" s="20"/>
      <c r="BA794" s="20"/>
      <c r="BB794" s="20"/>
      <c r="BC794" s="20"/>
      <c r="BD794" s="20"/>
      <c r="BE794" s="20"/>
      <c r="BF794" s="20"/>
      <c r="BG794" s="20"/>
      <c r="BH794" s="20"/>
      <c r="BI794" s="21"/>
      <c r="BJ794" s="21"/>
    </row>
    <row r="795" spans="1:62" ht="15.75" customHeight="1">
      <c r="A795" s="3"/>
      <c r="B795" s="3"/>
      <c r="C795" s="3"/>
      <c r="D795" s="3"/>
      <c r="E795" s="3"/>
      <c r="F795" s="3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  <c r="AN795" s="20"/>
      <c r="AO795" s="20"/>
      <c r="AP795" s="20"/>
      <c r="AQ795" s="20"/>
      <c r="AR795" s="20"/>
      <c r="AS795" s="20"/>
      <c r="AT795" s="20"/>
      <c r="AU795" s="20"/>
      <c r="AV795" s="20"/>
      <c r="AW795" s="20"/>
      <c r="AX795" s="20"/>
      <c r="AY795" s="20"/>
      <c r="AZ795" s="20"/>
      <c r="BA795" s="20"/>
      <c r="BB795" s="20"/>
      <c r="BC795" s="20"/>
      <c r="BD795" s="20"/>
      <c r="BE795" s="20"/>
      <c r="BF795" s="20"/>
      <c r="BG795" s="20"/>
      <c r="BH795" s="20"/>
      <c r="BI795" s="21"/>
      <c r="BJ795" s="21"/>
    </row>
    <row r="796" spans="1:62" ht="15.75" customHeight="1">
      <c r="A796" s="3"/>
      <c r="B796" s="3"/>
      <c r="C796" s="3"/>
      <c r="D796" s="3"/>
      <c r="E796" s="3"/>
      <c r="F796" s="3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  <c r="AN796" s="20"/>
      <c r="AO796" s="20"/>
      <c r="AP796" s="20"/>
      <c r="AQ796" s="20"/>
      <c r="AR796" s="20"/>
      <c r="AS796" s="20"/>
      <c r="AT796" s="20"/>
      <c r="AU796" s="20"/>
      <c r="AV796" s="20"/>
      <c r="AW796" s="20"/>
      <c r="AX796" s="20"/>
      <c r="AY796" s="20"/>
      <c r="AZ796" s="20"/>
      <c r="BA796" s="20"/>
      <c r="BB796" s="20"/>
      <c r="BC796" s="20"/>
      <c r="BD796" s="20"/>
      <c r="BE796" s="20"/>
      <c r="BF796" s="20"/>
      <c r="BG796" s="20"/>
      <c r="BH796" s="20"/>
      <c r="BI796" s="21"/>
      <c r="BJ796" s="21"/>
    </row>
    <row r="797" spans="1:62" ht="15.75" customHeight="1">
      <c r="A797" s="3"/>
      <c r="B797" s="3"/>
      <c r="C797" s="3"/>
      <c r="D797" s="3"/>
      <c r="E797" s="3"/>
      <c r="F797" s="3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  <c r="BB797" s="20"/>
      <c r="BC797" s="20"/>
      <c r="BD797" s="20"/>
      <c r="BE797" s="20"/>
      <c r="BF797" s="20"/>
      <c r="BG797" s="20"/>
      <c r="BH797" s="20"/>
      <c r="BI797" s="21"/>
      <c r="BJ797" s="21"/>
    </row>
    <row r="798" spans="1:62" ht="15.75" customHeight="1">
      <c r="A798" s="3"/>
      <c r="B798" s="3"/>
      <c r="C798" s="3"/>
      <c r="D798" s="3"/>
      <c r="E798" s="3"/>
      <c r="F798" s="3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  <c r="BB798" s="20"/>
      <c r="BC798" s="20"/>
      <c r="BD798" s="20"/>
      <c r="BE798" s="20"/>
      <c r="BF798" s="20"/>
      <c r="BG798" s="20"/>
      <c r="BH798" s="20"/>
      <c r="BI798" s="21"/>
      <c r="BJ798" s="21"/>
    </row>
    <row r="799" spans="1:62" ht="15.75" customHeight="1">
      <c r="A799" s="3"/>
      <c r="B799" s="3"/>
      <c r="C799" s="3"/>
      <c r="D799" s="3"/>
      <c r="E799" s="3"/>
      <c r="F799" s="3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  <c r="BB799" s="20"/>
      <c r="BC799" s="20"/>
      <c r="BD799" s="20"/>
      <c r="BE799" s="20"/>
      <c r="BF799" s="20"/>
      <c r="BG799" s="20"/>
      <c r="BH799" s="20"/>
      <c r="BI799" s="21"/>
      <c r="BJ799" s="21"/>
    </row>
    <row r="800" spans="1:62" ht="15.75" customHeight="1">
      <c r="A800" s="3"/>
      <c r="B800" s="3"/>
      <c r="C800" s="3"/>
      <c r="D800" s="3"/>
      <c r="E800" s="3"/>
      <c r="F800" s="3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  <c r="BB800" s="20"/>
      <c r="BC800" s="20"/>
      <c r="BD800" s="20"/>
      <c r="BE800" s="20"/>
      <c r="BF800" s="20"/>
      <c r="BG800" s="20"/>
      <c r="BH800" s="20"/>
      <c r="BI800" s="21"/>
      <c r="BJ800" s="21"/>
    </row>
    <row r="801" spans="1:62" ht="15.75" customHeight="1">
      <c r="A801" s="3"/>
      <c r="B801" s="3"/>
      <c r="C801" s="3"/>
      <c r="D801" s="3"/>
      <c r="E801" s="3"/>
      <c r="F801" s="3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  <c r="BB801" s="20"/>
      <c r="BC801" s="20"/>
      <c r="BD801" s="20"/>
      <c r="BE801" s="20"/>
      <c r="BF801" s="20"/>
      <c r="BG801" s="20"/>
      <c r="BH801" s="20"/>
      <c r="BI801" s="21"/>
      <c r="BJ801" s="21"/>
    </row>
    <row r="802" spans="1:62" ht="15.75" customHeight="1">
      <c r="A802" s="3"/>
      <c r="B802" s="3"/>
      <c r="C802" s="3"/>
      <c r="D802" s="3"/>
      <c r="E802" s="3"/>
      <c r="F802" s="3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  <c r="BB802" s="20"/>
      <c r="BC802" s="20"/>
      <c r="BD802" s="20"/>
      <c r="BE802" s="20"/>
      <c r="BF802" s="20"/>
      <c r="BG802" s="20"/>
      <c r="BH802" s="20"/>
      <c r="BI802" s="21"/>
      <c r="BJ802" s="21"/>
    </row>
    <row r="803" spans="1:62" ht="15.75" customHeight="1">
      <c r="A803" s="3"/>
      <c r="B803" s="3"/>
      <c r="C803" s="3"/>
      <c r="D803" s="3"/>
      <c r="E803" s="3"/>
      <c r="F803" s="3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  <c r="BB803" s="20"/>
      <c r="BC803" s="20"/>
      <c r="BD803" s="20"/>
      <c r="BE803" s="20"/>
      <c r="BF803" s="20"/>
      <c r="BG803" s="20"/>
      <c r="BH803" s="20"/>
      <c r="BI803" s="21"/>
      <c r="BJ803" s="21"/>
    </row>
    <row r="804" spans="1:62" ht="15.75" customHeight="1">
      <c r="A804" s="3"/>
      <c r="B804" s="3"/>
      <c r="C804" s="3"/>
      <c r="D804" s="3"/>
      <c r="E804" s="3"/>
      <c r="F804" s="3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  <c r="BB804" s="20"/>
      <c r="BC804" s="20"/>
      <c r="BD804" s="20"/>
      <c r="BE804" s="20"/>
      <c r="BF804" s="20"/>
      <c r="BG804" s="20"/>
      <c r="BH804" s="20"/>
      <c r="BI804" s="21"/>
      <c r="BJ804" s="21"/>
    </row>
    <row r="805" spans="1:62" ht="15.75" customHeight="1">
      <c r="A805" s="3"/>
      <c r="B805" s="3"/>
      <c r="C805" s="3"/>
      <c r="D805" s="3"/>
      <c r="E805" s="3"/>
      <c r="F805" s="3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  <c r="BB805" s="20"/>
      <c r="BC805" s="20"/>
      <c r="BD805" s="20"/>
      <c r="BE805" s="20"/>
      <c r="BF805" s="20"/>
      <c r="BG805" s="20"/>
      <c r="BH805" s="20"/>
      <c r="BI805" s="21"/>
      <c r="BJ805" s="21"/>
    </row>
    <row r="806" spans="1:62" ht="15.75" customHeight="1">
      <c r="A806" s="3"/>
      <c r="B806" s="3"/>
      <c r="C806" s="3"/>
      <c r="D806" s="3"/>
      <c r="E806" s="3"/>
      <c r="F806" s="3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  <c r="BB806" s="20"/>
      <c r="BC806" s="20"/>
      <c r="BD806" s="20"/>
      <c r="BE806" s="20"/>
      <c r="BF806" s="20"/>
      <c r="BG806" s="20"/>
      <c r="BH806" s="20"/>
      <c r="BI806" s="21"/>
      <c r="BJ806" s="21"/>
    </row>
    <row r="807" spans="1:62" ht="15.75" customHeight="1">
      <c r="A807" s="3"/>
      <c r="B807" s="3"/>
      <c r="C807" s="3"/>
      <c r="D807" s="3"/>
      <c r="E807" s="3"/>
      <c r="F807" s="3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  <c r="BB807" s="20"/>
      <c r="BC807" s="20"/>
      <c r="BD807" s="20"/>
      <c r="BE807" s="20"/>
      <c r="BF807" s="20"/>
      <c r="BG807" s="20"/>
      <c r="BH807" s="20"/>
      <c r="BI807" s="21"/>
      <c r="BJ807" s="21"/>
    </row>
    <row r="808" spans="1:62" ht="15.75" customHeight="1">
      <c r="A808" s="3"/>
      <c r="B808" s="3"/>
      <c r="C808" s="3"/>
      <c r="D808" s="3"/>
      <c r="E808" s="3"/>
      <c r="F808" s="3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  <c r="BB808" s="20"/>
      <c r="BC808" s="20"/>
      <c r="BD808" s="20"/>
      <c r="BE808" s="20"/>
      <c r="BF808" s="20"/>
      <c r="BG808" s="20"/>
      <c r="BH808" s="20"/>
      <c r="BI808" s="21"/>
      <c r="BJ808" s="21"/>
    </row>
    <row r="809" spans="1:62" ht="15.75" customHeight="1">
      <c r="A809" s="3"/>
      <c r="B809" s="3"/>
      <c r="C809" s="3"/>
      <c r="D809" s="3"/>
      <c r="E809" s="3"/>
      <c r="F809" s="3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  <c r="BB809" s="20"/>
      <c r="BC809" s="20"/>
      <c r="BD809" s="20"/>
      <c r="BE809" s="20"/>
      <c r="BF809" s="20"/>
      <c r="BG809" s="20"/>
      <c r="BH809" s="20"/>
      <c r="BI809" s="21"/>
      <c r="BJ809" s="21"/>
    </row>
    <row r="810" spans="1:62" ht="15.75" customHeight="1">
      <c r="A810" s="3"/>
      <c r="B810" s="3"/>
      <c r="C810" s="3"/>
      <c r="D810" s="3"/>
      <c r="E810" s="3"/>
      <c r="F810" s="3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  <c r="BB810" s="20"/>
      <c r="BC810" s="20"/>
      <c r="BD810" s="20"/>
      <c r="BE810" s="20"/>
      <c r="BF810" s="20"/>
      <c r="BG810" s="20"/>
      <c r="BH810" s="20"/>
      <c r="BI810" s="21"/>
      <c r="BJ810" s="21"/>
    </row>
    <row r="811" spans="1:62" ht="15.75" customHeight="1">
      <c r="A811" s="3"/>
      <c r="B811" s="3"/>
      <c r="C811" s="3"/>
      <c r="D811" s="3"/>
      <c r="E811" s="3"/>
      <c r="F811" s="3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  <c r="BB811" s="20"/>
      <c r="BC811" s="20"/>
      <c r="BD811" s="20"/>
      <c r="BE811" s="20"/>
      <c r="BF811" s="20"/>
      <c r="BG811" s="20"/>
      <c r="BH811" s="20"/>
      <c r="BI811" s="21"/>
      <c r="BJ811" s="21"/>
    </row>
    <row r="812" spans="1:62" ht="15.75" customHeight="1">
      <c r="A812" s="3"/>
      <c r="B812" s="3"/>
      <c r="C812" s="3"/>
      <c r="D812" s="3"/>
      <c r="E812" s="3"/>
      <c r="F812" s="3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  <c r="BB812" s="20"/>
      <c r="BC812" s="20"/>
      <c r="BD812" s="20"/>
      <c r="BE812" s="20"/>
      <c r="BF812" s="20"/>
      <c r="BG812" s="20"/>
      <c r="BH812" s="20"/>
      <c r="BI812" s="21"/>
      <c r="BJ812" s="21"/>
    </row>
    <row r="813" spans="1:62" ht="15.75" customHeight="1">
      <c r="A813" s="3"/>
      <c r="B813" s="3"/>
      <c r="C813" s="3"/>
      <c r="D813" s="3"/>
      <c r="E813" s="3"/>
      <c r="F813" s="3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  <c r="BB813" s="20"/>
      <c r="BC813" s="20"/>
      <c r="BD813" s="20"/>
      <c r="BE813" s="20"/>
      <c r="BF813" s="20"/>
      <c r="BG813" s="20"/>
      <c r="BH813" s="20"/>
      <c r="BI813" s="21"/>
      <c r="BJ813" s="21"/>
    </row>
    <row r="814" spans="1:62" ht="15.75" customHeight="1">
      <c r="A814" s="3"/>
      <c r="B814" s="3"/>
      <c r="C814" s="3"/>
      <c r="D814" s="3"/>
      <c r="E814" s="3"/>
      <c r="F814" s="3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  <c r="BB814" s="20"/>
      <c r="BC814" s="20"/>
      <c r="BD814" s="20"/>
      <c r="BE814" s="20"/>
      <c r="BF814" s="20"/>
      <c r="BG814" s="20"/>
      <c r="BH814" s="20"/>
      <c r="BI814" s="21"/>
      <c r="BJ814" s="21"/>
    </row>
    <row r="815" spans="1:62" ht="15.75" customHeight="1">
      <c r="A815" s="3"/>
      <c r="B815" s="3"/>
      <c r="C815" s="3"/>
      <c r="D815" s="3"/>
      <c r="E815" s="3"/>
      <c r="F815" s="3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  <c r="BB815" s="20"/>
      <c r="BC815" s="20"/>
      <c r="BD815" s="20"/>
      <c r="BE815" s="20"/>
      <c r="BF815" s="20"/>
      <c r="BG815" s="20"/>
      <c r="BH815" s="20"/>
      <c r="BI815" s="21"/>
      <c r="BJ815" s="21"/>
    </row>
    <row r="816" spans="1:62" ht="15.75" customHeight="1">
      <c r="A816" s="3"/>
      <c r="B816" s="3"/>
      <c r="C816" s="3"/>
      <c r="D816" s="3"/>
      <c r="E816" s="3"/>
      <c r="F816" s="3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  <c r="BB816" s="20"/>
      <c r="BC816" s="20"/>
      <c r="BD816" s="20"/>
      <c r="BE816" s="20"/>
      <c r="BF816" s="20"/>
      <c r="BG816" s="20"/>
      <c r="BH816" s="20"/>
      <c r="BI816" s="21"/>
      <c r="BJ816" s="21"/>
    </row>
    <row r="817" spans="1:62" ht="15.75" customHeight="1">
      <c r="A817" s="3"/>
      <c r="B817" s="3"/>
      <c r="C817" s="3"/>
      <c r="D817" s="3"/>
      <c r="E817" s="3"/>
      <c r="F817" s="3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  <c r="BB817" s="20"/>
      <c r="BC817" s="20"/>
      <c r="BD817" s="20"/>
      <c r="BE817" s="20"/>
      <c r="BF817" s="20"/>
      <c r="BG817" s="20"/>
      <c r="BH817" s="20"/>
      <c r="BI817" s="21"/>
      <c r="BJ817" s="21"/>
    </row>
    <row r="818" spans="1:62" ht="15.75" customHeight="1">
      <c r="A818" s="3"/>
      <c r="B818" s="3"/>
      <c r="C818" s="3"/>
      <c r="D818" s="3"/>
      <c r="E818" s="3"/>
      <c r="F818" s="3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  <c r="BB818" s="20"/>
      <c r="BC818" s="20"/>
      <c r="BD818" s="20"/>
      <c r="BE818" s="20"/>
      <c r="BF818" s="20"/>
      <c r="BG818" s="20"/>
      <c r="BH818" s="20"/>
      <c r="BI818" s="21"/>
      <c r="BJ818" s="21"/>
    </row>
    <row r="819" spans="1:62" ht="15.75" customHeight="1">
      <c r="A819" s="3"/>
      <c r="B819" s="3"/>
      <c r="C819" s="3"/>
      <c r="D819" s="3"/>
      <c r="E819" s="3"/>
      <c r="F819" s="3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  <c r="BB819" s="20"/>
      <c r="BC819" s="20"/>
      <c r="BD819" s="20"/>
      <c r="BE819" s="20"/>
      <c r="BF819" s="20"/>
      <c r="BG819" s="20"/>
      <c r="BH819" s="20"/>
      <c r="BI819" s="21"/>
      <c r="BJ819" s="21"/>
    </row>
    <row r="820" spans="1:62" ht="15.75" customHeight="1">
      <c r="A820" s="3"/>
      <c r="B820" s="3"/>
      <c r="C820" s="3"/>
      <c r="D820" s="3"/>
      <c r="E820" s="3"/>
      <c r="F820" s="3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  <c r="BB820" s="20"/>
      <c r="BC820" s="20"/>
      <c r="BD820" s="20"/>
      <c r="BE820" s="20"/>
      <c r="BF820" s="20"/>
      <c r="BG820" s="20"/>
      <c r="BH820" s="20"/>
      <c r="BI820" s="21"/>
      <c r="BJ820" s="21"/>
    </row>
    <row r="821" spans="1:62" ht="15.75" customHeight="1">
      <c r="A821" s="3"/>
      <c r="B821" s="3"/>
      <c r="C821" s="3"/>
      <c r="D821" s="3"/>
      <c r="E821" s="3"/>
      <c r="F821" s="3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  <c r="BB821" s="20"/>
      <c r="BC821" s="20"/>
      <c r="BD821" s="20"/>
      <c r="BE821" s="20"/>
      <c r="BF821" s="20"/>
      <c r="BG821" s="20"/>
      <c r="BH821" s="20"/>
      <c r="BI821" s="21"/>
      <c r="BJ821" s="21"/>
    </row>
    <row r="822" spans="1:62" ht="15.75" customHeight="1">
      <c r="A822" s="3"/>
      <c r="B822" s="3"/>
      <c r="C822" s="3"/>
      <c r="D822" s="3"/>
      <c r="E822" s="3"/>
      <c r="F822" s="3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  <c r="BB822" s="20"/>
      <c r="BC822" s="20"/>
      <c r="BD822" s="20"/>
      <c r="BE822" s="20"/>
      <c r="BF822" s="20"/>
      <c r="BG822" s="20"/>
      <c r="BH822" s="20"/>
      <c r="BI822" s="21"/>
      <c r="BJ822" s="21"/>
    </row>
    <row r="823" spans="1:62" ht="15.75" customHeight="1">
      <c r="A823" s="3"/>
      <c r="B823" s="3"/>
      <c r="C823" s="3"/>
      <c r="D823" s="3"/>
      <c r="E823" s="3"/>
      <c r="F823" s="3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  <c r="BB823" s="20"/>
      <c r="BC823" s="20"/>
      <c r="BD823" s="20"/>
      <c r="BE823" s="20"/>
      <c r="BF823" s="20"/>
      <c r="BG823" s="20"/>
      <c r="BH823" s="20"/>
      <c r="BI823" s="21"/>
      <c r="BJ823" s="21"/>
    </row>
    <row r="824" spans="1:62" ht="15.75" customHeight="1">
      <c r="A824" s="3"/>
      <c r="B824" s="3"/>
      <c r="C824" s="3"/>
      <c r="D824" s="3"/>
      <c r="E824" s="3"/>
      <c r="F824" s="3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  <c r="BB824" s="20"/>
      <c r="BC824" s="20"/>
      <c r="BD824" s="20"/>
      <c r="BE824" s="20"/>
      <c r="BF824" s="20"/>
      <c r="BG824" s="20"/>
      <c r="BH824" s="20"/>
      <c r="BI824" s="21"/>
      <c r="BJ824" s="21"/>
    </row>
    <row r="825" spans="1:62" ht="15.75" customHeight="1">
      <c r="A825" s="3"/>
      <c r="B825" s="3"/>
      <c r="C825" s="3"/>
      <c r="D825" s="3"/>
      <c r="E825" s="3"/>
      <c r="F825" s="3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  <c r="BB825" s="20"/>
      <c r="BC825" s="20"/>
      <c r="BD825" s="20"/>
      <c r="BE825" s="20"/>
      <c r="BF825" s="20"/>
      <c r="BG825" s="20"/>
      <c r="BH825" s="20"/>
      <c r="BI825" s="21"/>
      <c r="BJ825" s="21"/>
    </row>
    <row r="826" spans="1:62" ht="15.75" customHeight="1">
      <c r="A826" s="3"/>
      <c r="B826" s="3"/>
      <c r="C826" s="3"/>
      <c r="D826" s="3"/>
      <c r="E826" s="3"/>
      <c r="F826" s="3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  <c r="BB826" s="20"/>
      <c r="BC826" s="20"/>
      <c r="BD826" s="20"/>
      <c r="BE826" s="20"/>
      <c r="BF826" s="20"/>
      <c r="BG826" s="20"/>
      <c r="BH826" s="20"/>
      <c r="BI826" s="21"/>
      <c r="BJ826" s="21"/>
    </row>
    <row r="827" spans="1:62" ht="15.75" customHeight="1">
      <c r="A827" s="3"/>
      <c r="B827" s="3"/>
      <c r="C827" s="3"/>
      <c r="D827" s="3"/>
      <c r="E827" s="3"/>
      <c r="F827" s="3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  <c r="BB827" s="20"/>
      <c r="BC827" s="20"/>
      <c r="BD827" s="20"/>
      <c r="BE827" s="20"/>
      <c r="BF827" s="20"/>
      <c r="BG827" s="20"/>
      <c r="BH827" s="20"/>
      <c r="BI827" s="21"/>
      <c r="BJ827" s="21"/>
    </row>
    <row r="828" spans="1:62" ht="15.75" customHeight="1">
      <c r="A828" s="3"/>
      <c r="B828" s="3"/>
      <c r="C828" s="3"/>
      <c r="D828" s="3"/>
      <c r="E828" s="3"/>
      <c r="F828" s="3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  <c r="BB828" s="20"/>
      <c r="BC828" s="20"/>
      <c r="BD828" s="20"/>
      <c r="BE828" s="20"/>
      <c r="BF828" s="20"/>
      <c r="BG828" s="20"/>
      <c r="BH828" s="20"/>
      <c r="BI828" s="21"/>
      <c r="BJ828" s="21"/>
    </row>
    <row r="829" spans="1:62" ht="15.75" customHeight="1">
      <c r="A829" s="3"/>
      <c r="B829" s="3"/>
      <c r="C829" s="3"/>
      <c r="D829" s="3"/>
      <c r="E829" s="3"/>
      <c r="F829" s="3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  <c r="BB829" s="20"/>
      <c r="BC829" s="20"/>
      <c r="BD829" s="20"/>
      <c r="BE829" s="20"/>
      <c r="BF829" s="20"/>
      <c r="BG829" s="20"/>
      <c r="BH829" s="20"/>
      <c r="BI829" s="21"/>
      <c r="BJ829" s="21"/>
    </row>
    <row r="830" spans="1:62" ht="15.75" customHeight="1">
      <c r="A830" s="3"/>
      <c r="B830" s="3"/>
      <c r="C830" s="3"/>
      <c r="D830" s="3"/>
      <c r="E830" s="3"/>
      <c r="F830" s="3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  <c r="BB830" s="20"/>
      <c r="BC830" s="20"/>
      <c r="BD830" s="20"/>
      <c r="BE830" s="20"/>
      <c r="BF830" s="20"/>
      <c r="BG830" s="20"/>
      <c r="BH830" s="20"/>
      <c r="BI830" s="21"/>
      <c r="BJ830" s="21"/>
    </row>
    <row r="831" spans="1:62" ht="15.75" customHeight="1">
      <c r="A831" s="3"/>
      <c r="B831" s="3"/>
      <c r="C831" s="3"/>
      <c r="D831" s="3"/>
      <c r="E831" s="3"/>
      <c r="F831" s="3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  <c r="BB831" s="20"/>
      <c r="BC831" s="20"/>
      <c r="BD831" s="20"/>
      <c r="BE831" s="20"/>
      <c r="BF831" s="20"/>
      <c r="BG831" s="20"/>
      <c r="BH831" s="20"/>
      <c r="BI831" s="21"/>
      <c r="BJ831" s="21"/>
    </row>
    <row r="832" spans="1:62" ht="15.75" customHeight="1">
      <c r="A832" s="3"/>
      <c r="B832" s="3"/>
      <c r="C832" s="3"/>
      <c r="D832" s="3"/>
      <c r="E832" s="3"/>
      <c r="F832" s="3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  <c r="BB832" s="20"/>
      <c r="BC832" s="20"/>
      <c r="BD832" s="20"/>
      <c r="BE832" s="20"/>
      <c r="BF832" s="20"/>
      <c r="BG832" s="20"/>
      <c r="BH832" s="20"/>
      <c r="BI832" s="21"/>
      <c r="BJ832" s="21"/>
    </row>
    <row r="833" spans="1:62" ht="15.75" customHeight="1">
      <c r="A833" s="3"/>
      <c r="B833" s="3"/>
      <c r="C833" s="3"/>
      <c r="D833" s="3"/>
      <c r="E833" s="3"/>
      <c r="F833" s="3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  <c r="BB833" s="20"/>
      <c r="BC833" s="20"/>
      <c r="BD833" s="20"/>
      <c r="BE833" s="20"/>
      <c r="BF833" s="20"/>
      <c r="BG833" s="20"/>
      <c r="BH833" s="20"/>
      <c r="BI833" s="21"/>
      <c r="BJ833" s="21"/>
    </row>
    <row r="834" spans="1:62" ht="15.75" customHeight="1">
      <c r="A834" s="3"/>
      <c r="B834" s="3"/>
      <c r="C834" s="3"/>
      <c r="D834" s="3"/>
      <c r="E834" s="3"/>
      <c r="F834" s="3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  <c r="BB834" s="20"/>
      <c r="BC834" s="20"/>
      <c r="BD834" s="20"/>
      <c r="BE834" s="20"/>
      <c r="BF834" s="20"/>
      <c r="BG834" s="20"/>
      <c r="BH834" s="20"/>
      <c r="BI834" s="21"/>
      <c r="BJ834" s="21"/>
    </row>
    <row r="835" spans="1:62" ht="15.75" customHeight="1">
      <c r="A835" s="3"/>
      <c r="B835" s="3"/>
      <c r="C835" s="3"/>
      <c r="D835" s="3"/>
      <c r="E835" s="3"/>
      <c r="F835" s="3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  <c r="BB835" s="20"/>
      <c r="BC835" s="20"/>
      <c r="BD835" s="20"/>
      <c r="BE835" s="20"/>
      <c r="BF835" s="20"/>
      <c r="BG835" s="20"/>
      <c r="BH835" s="20"/>
      <c r="BI835" s="21"/>
      <c r="BJ835" s="21"/>
    </row>
    <row r="836" spans="1:62" ht="15.75" customHeight="1">
      <c r="A836" s="3"/>
      <c r="B836" s="3"/>
      <c r="C836" s="3"/>
      <c r="D836" s="3"/>
      <c r="E836" s="3"/>
      <c r="F836" s="3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1"/>
      <c r="BJ836" s="21"/>
    </row>
    <row r="837" spans="1:62" ht="15.75" customHeight="1">
      <c r="A837" s="3"/>
      <c r="B837" s="3"/>
      <c r="C837" s="3"/>
      <c r="D837" s="3"/>
      <c r="E837" s="3"/>
      <c r="F837" s="3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  <c r="BB837" s="20"/>
      <c r="BC837" s="20"/>
      <c r="BD837" s="20"/>
      <c r="BE837" s="20"/>
      <c r="BF837" s="20"/>
      <c r="BG837" s="20"/>
      <c r="BH837" s="20"/>
      <c r="BI837" s="21"/>
      <c r="BJ837" s="21"/>
    </row>
    <row r="838" spans="1:62" ht="15.75" customHeight="1">
      <c r="A838" s="3"/>
      <c r="B838" s="3"/>
      <c r="C838" s="3"/>
      <c r="D838" s="3"/>
      <c r="E838" s="3"/>
      <c r="F838" s="3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  <c r="BB838" s="20"/>
      <c r="BC838" s="20"/>
      <c r="BD838" s="20"/>
      <c r="BE838" s="20"/>
      <c r="BF838" s="20"/>
      <c r="BG838" s="20"/>
      <c r="BH838" s="20"/>
      <c r="BI838" s="21"/>
      <c r="BJ838" s="21"/>
    </row>
    <row r="839" spans="1:62" ht="15.75" customHeight="1">
      <c r="A839" s="3"/>
      <c r="B839" s="3"/>
      <c r="C839" s="3"/>
      <c r="D839" s="3"/>
      <c r="E839" s="3"/>
      <c r="F839" s="3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  <c r="BB839" s="20"/>
      <c r="BC839" s="20"/>
      <c r="BD839" s="20"/>
      <c r="BE839" s="20"/>
      <c r="BF839" s="20"/>
      <c r="BG839" s="20"/>
      <c r="BH839" s="20"/>
      <c r="BI839" s="21"/>
      <c r="BJ839" s="21"/>
    </row>
    <row r="840" spans="1:62" ht="15.75" customHeight="1">
      <c r="A840" s="3"/>
      <c r="B840" s="3"/>
      <c r="C840" s="3"/>
      <c r="D840" s="3"/>
      <c r="E840" s="3"/>
      <c r="F840" s="3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  <c r="BB840" s="20"/>
      <c r="BC840" s="20"/>
      <c r="BD840" s="20"/>
      <c r="BE840" s="20"/>
      <c r="BF840" s="20"/>
      <c r="BG840" s="20"/>
      <c r="BH840" s="20"/>
      <c r="BI840" s="21"/>
      <c r="BJ840" s="21"/>
    </row>
    <row r="841" spans="1:62" ht="15.75" customHeight="1">
      <c r="A841" s="3"/>
      <c r="B841" s="3"/>
      <c r="C841" s="3"/>
      <c r="D841" s="3"/>
      <c r="E841" s="3"/>
      <c r="F841" s="3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  <c r="BB841" s="20"/>
      <c r="BC841" s="20"/>
      <c r="BD841" s="20"/>
      <c r="BE841" s="20"/>
      <c r="BF841" s="20"/>
      <c r="BG841" s="20"/>
      <c r="BH841" s="20"/>
      <c r="BI841" s="21"/>
      <c r="BJ841" s="21"/>
    </row>
    <row r="842" spans="1:62" ht="15.75" customHeight="1">
      <c r="A842" s="3"/>
      <c r="B842" s="3"/>
      <c r="C842" s="3"/>
      <c r="D842" s="3"/>
      <c r="E842" s="3"/>
      <c r="F842" s="3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  <c r="BB842" s="20"/>
      <c r="BC842" s="20"/>
      <c r="BD842" s="20"/>
      <c r="BE842" s="20"/>
      <c r="BF842" s="20"/>
      <c r="BG842" s="20"/>
      <c r="BH842" s="20"/>
      <c r="BI842" s="21"/>
      <c r="BJ842" s="21"/>
    </row>
    <row r="843" spans="1:62" ht="15.75" customHeight="1">
      <c r="A843" s="3"/>
      <c r="B843" s="3"/>
      <c r="C843" s="3"/>
      <c r="D843" s="3"/>
      <c r="E843" s="3"/>
      <c r="F843" s="3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  <c r="BB843" s="20"/>
      <c r="BC843" s="20"/>
      <c r="BD843" s="20"/>
      <c r="BE843" s="20"/>
      <c r="BF843" s="20"/>
      <c r="BG843" s="20"/>
      <c r="BH843" s="20"/>
      <c r="BI843" s="21"/>
      <c r="BJ843" s="21"/>
    </row>
    <row r="844" spans="1:62" ht="15.75" customHeight="1">
      <c r="A844" s="3"/>
      <c r="B844" s="3"/>
      <c r="C844" s="3"/>
      <c r="D844" s="3"/>
      <c r="E844" s="3"/>
      <c r="F844" s="3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  <c r="BB844" s="20"/>
      <c r="BC844" s="20"/>
      <c r="BD844" s="20"/>
      <c r="BE844" s="20"/>
      <c r="BF844" s="20"/>
      <c r="BG844" s="20"/>
      <c r="BH844" s="20"/>
      <c r="BI844" s="21"/>
      <c r="BJ844" s="21"/>
    </row>
    <row r="845" spans="1:62" ht="15.75" customHeight="1">
      <c r="A845" s="3"/>
      <c r="B845" s="3"/>
      <c r="C845" s="3"/>
      <c r="D845" s="3"/>
      <c r="E845" s="3"/>
      <c r="F845" s="3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  <c r="BB845" s="20"/>
      <c r="BC845" s="20"/>
      <c r="BD845" s="20"/>
      <c r="BE845" s="20"/>
      <c r="BF845" s="20"/>
      <c r="BG845" s="20"/>
      <c r="BH845" s="20"/>
      <c r="BI845" s="21"/>
      <c r="BJ845" s="21"/>
    </row>
    <row r="846" spans="1:62" ht="15.75" customHeight="1">
      <c r="A846" s="3"/>
      <c r="B846" s="3"/>
      <c r="C846" s="3"/>
      <c r="D846" s="3"/>
      <c r="E846" s="3"/>
      <c r="F846" s="3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  <c r="BB846" s="20"/>
      <c r="BC846" s="20"/>
      <c r="BD846" s="20"/>
      <c r="BE846" s="20"/>
      <c r="BF846" s="20"/>
      <c r="BG846" s="20"/>
      <c r="BH846" s="20"/>
      <c r="BI846" s="21"/>
      <c r="BJ846" s="21"/>
    </row>
    <row r="847" spans="1:62" ht="15.75" customHeight="1">
      <c r="A847" s="3"/>
      <c r="B847" s="3"/>
      <c r="C847" s="3"/>
      <c r="D847" s="3"/>
      <c r="E847" s="3"/>
      <c r="F847" s="3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  <c r="BB847" s="20"/>
      <c r="BC847" s="20"/>
      <c r="BD847" s="20"/>
      <c r="BE847" s="20"/>
      <c r="BF847" s="20"/>
      <c r="BG847" s="20"/>
      <c r="BH847" s="20"/>
      <c r="BI847" s="21"/>
      <c r="BJ847" s="21"/>
    </row>
    <row r="848" spans="1:62" ht="15.75" customHeight="1">
      <c r="A848" s="3"/>
      <c r="B848" s="3"/>
      <c r="C848" s="3"/>
      <c r="D848" s="3"/>
      <c r="E848" s="3"/>
      <c r="F848" s="3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  <c r="BB848" s="20"/>
      <c r="BC848" s="20"/>
      <c r="BD848" s="20"/>
      <c r="BE848" s="20"/>
      <c r="BF848" s="20"/>
      <c r="BG848" s="20"/>
      <c r="BH848" s="20"/>
      <c r="BI848" s="21"/>
      <c r="BJ848" s="21"/>
    </row>
    <row r="849" spans="1:62" ht="15.75" customHeight="1">
      <c r="A849" s="3"/>
      <c r="B849" s="3"/>
      <c r="C849" s="3"/>
      <c r="D849" s="3"/>
      <c r="E849" s="3"/>
      <c r="F849" s="3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  <c r="BB849" s="20"/>
      <c r="BC849" s="20"/>
      <c r="BD849" s="20"/>
      <c r="BE849" s="20"/>
      <c r="BF849" s="20"/>
      <c r="BG849" s="20"/>
      <c r="BH849" s="20"/>
      <c r="BI849" s="21"/>
      <c r="BJ849" s="21"/>
    </row>
    <row r="850" spans="1:62" ht="15.75" customHeight="1">
      <c r="A850" s="3"/>
      <c r="B850" s="3"/>
      <c r="C850" s="3"/>
      <c r="D850" s="3"/>
      <c r="E850" s="3"/>
      <c r="F850" s="3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  <c r="BB850" s="20"/>
      <c r="BC850" s="20"/>
      <c r="BD850" s="20"/>
      <c r="BE850" s="20"/>
      <c r="BF850" s="20"/>
      <c r="BG850" s="20"/>
      <c r="BH850" s="20"/>
      <c r="BI850" s="21"/>
      <c r="BJ850" s="21"/>
    </row>
    <row r="851" spans="1:62" ht="15.75" customHeight="1">
      <c r="A851" s="3"/>
      <c r="B851" s="3"/>
      <c r="C851" s="3"/>
      <c r="D851" s="3"/>
      <c r="E851" s="3"/>
      <c r="F851" s="3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  <c r="BB851" s="20"/>
      <c r="BC851" s="20"/>
      <c r="BD851" s="20"/>
      <c r="BE851" s="20"/>
      <c r="BF851" s="20"/>
      <c r="BG851" s="20"/>
      <c r="BH851" s="20"/>
      <c r="BI851" s="21"/>
      <c r="BJ851" s="21"/>
    </row>
    <row r="852" spans="1:62" ht="15.75" customHeight="1">
      <c r="A852" s="3"/>
      <c r="B852" s="3"/>
      <c r="C852" s="3"/>
      <c r="D852" s="3"/>
      <c r="E852" s="3"/>
      <c r="F852" s="3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1"/>
      <c r="BJ852" s="21"/>
    </row>
    <row r="853" spans="1:62" ht="15.75" customHeight="1">
      <c r="A853" s="3"/>
      <c r="B853" s="3"/>
      <c r="C853" s="3"/>
      <c r="D853" s="3"/>
      <c r="E853" s="3"/>
      <c r="F853" s="3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  <c r="BB853" s="20"/>
      <c r="BC853" s="20"/>
      <c r="BD853" s="20"/>
      <c r="BE853" s="20"/>
      <c r="BF853" s="20"/>
      <c r="BG853" s="20"/>
      <c r="BH853" s="20"/>
      <c r="BI853" s="21"/>
      <c r="BJ853" s="21"/>
    </row>
    <row r="854" spans="1:62" ht="15.75" customHeight="1">
      <c r="A854" s="3"/>
      <c r="B854" s="3"/>
      <c r="C854" s="3"/>
      <c r="D854" s="3"/>
      <c r="E854" s="3"/>
      <c r="F854" s="3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  <c r="BB854" s="20"/>
      <c r="BC854" s="20"/>
      <c r="BD854" s="20"/>
      <c r="BE854" s="20"/>
      <c r="BF854" s="20"/>
      <c r="BG854" s="20"/>
      <c r="BH854" s="20"/>
      <c r="BI854" s="21"/>
      <c r="BJ854" s="21"/>
    </row>
    <row r="855" spans="1:62" ht="15.75" customHeight="1">
      <c r="A855" s="3"/>
      <c r="B855" s="3"/>
      <c r="C855" s="3"/>
      <c r="D855" s="3"/>
      <c r="E855" s="3"/>
      <c r="F855" s="3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  <c r="BB855" s="20"/>
      <c r="BC855" s="20"/>
      <c r="BD855" s="20"/>
      <c r="BE855" s="20"/>
      <c r="BF855" s="20"/>
      <c r="BG855" s="20"/>
      <c r="BH855" s="20"/>
      <c r="BI855" s="21"/>
      <c r="BJ855" s="21"/>
    </row>
    <row r="856" spans="1:62" ht="15.75" customHeight="1">
      <c r="A856" s="3"/>
      <c r="B856" s="3"/>
      <c r="C856" s="3"/>
      <c r="D856" s="3"/>
      <c r="E856" s="3"/>
      <c r="F856" s="3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  <c r="BB856" s="20"/>
      <c r="BC856" s="20"/>
      <c r="BD856" s="20"/>
      <c r="BE856" s="20"/>
      <c r="BF856" s="20"/>
      <c r="BG856" s="20"/>
      <c r="BH856" s="20"/>
      <c r="BI856" s="21"/>
      <c r="BJ856" s="21"/>
    </row>
    <row r="857" spans="1:62" ht="15.75" customHeight="1">
      <c r="A857" s="3"/>
      <c r="B857" s="3"/>
      <c r="C857" s="3"/>
      <c r="D857" s="3"/>
      <c r="E857" s="3"/>
      <c r="F857" s="3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  <c r="BB857" s="20"/>
      <c r="BC857" s="20"/>
      <c r="BD857" s="20"/>
      <c r="BE857" s="20"/>
      <c r="BF857" s="20"/>
      <c r="BG857" s="20"/>
      <c r="BH857" s="20"/>
      <c r="BI857" s="21"/>
      <c r="BJ857" s="21"/>
    </row>
    <row r="858" spans="1:62" ht="15.75" customHeight="1">
      <c r="A858" s="3"/>
      <c r="B858" s="3"/>
      <c r="C858" s="3"/>
      <c r="D858" s="3"/>
      <c r="E858" s="3"/>
      <c r="F858" s="3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  <c r="BB858" s="20"/>
      <c r="BC858" s="20"/>
      <c r="BD858" s="20"/>
      <c r="BE858" s="20"/>
      <c r="BF858" s="20"/>
      <c r="BG858" s="20"/>
      <c r="BH858" s="20"/>
      <c r="BI858" s="21"/>
      <c r="BJ858" s="21"/>
    </row>
    <row r="859" spans="1:62" ht="15.75" customHeight="1">
      <c r="A859" s="3"/>
      <c r="B859" s="3"/>
      <c r="C859" s="3"/>
      <c r="D859" s="3"/>
      <c r="E859" s="3"/>
      <c r="F859" s="3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  <c r="BB859" s="20"/>
      <c r="BC859" s="20"/>
      <c r="BD859" s="20"/>
      <c r="BE859" s="20"/>
      <c r="BF859" s="20"/>
      <c r="BG859" s="20"/>
      <c r="BH859" s="20"/>
      <c r="BI859" s="21"/>
      <c r="BJ859" s="21"/>
    </row>
    <row r="860" spans="1:62" ht="15.75" customHeight="1">
      <c r="A860" s="3"/>
      <c r="B860" s="3"/>
      <c r="C860" s="3"/>
      <c r="D860" s="3"/>
      <c r="E860" s="3"/>
      <c r="F860" s="3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  <c r="BB860" s="20"/>
      <c r="BC860" s="20"/>
      <c r="BD860" s="20"/>
      <c r="BE860" s="20"/>
      <c r="BF860" s="20"/>
      <c r="BG860" s="20"/>
      <c r="BH860" s="20"/>
      <c r="BI860" s="21"/>
      <c r="BJ860" s="21"/>
    </row>
    <row r="861" spans="1:62" ht="15.75" customHeight="1">
      <c r="A861" s="3"/>
      <c r="B861" s="3"/>
      <c r="C861" s="3"/>
      <c r="D861" s="3"/>
      <c r="E861" s="3"/>
      <c r="F861" s="3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  <c r="BB861" s="20"/>
      <c r="BC861" s="20"/>
      <c r="BD861" s="20"/>
      <c r="BE861" s="20"/>
      <c r="BF861" s="20"/>
      <c r="BG861" s="20"/>
      <c r="BH861" s="20"/>
      <c r="BI861" s="21"/>
      <c r="BJ861" s="21"/>
    </row>
    <row r="862" spans="1:62" ht="15.75" customHeight="1">
      <c r="A862" s="3"/>
      <c r="B862" s="3"/>
      <c r="C862" s="3"/>
      <c r="D862" s="3"/>
      <c r="E862" s="3"/>
      <c r="F862" s="3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  <c r="BB862" s="20"/>
      <c r="BC862" s="20"/>
      <c r="BD862" s="20"/>
      <c r="BE862" s="20"/>
      <c r="BF862" s="20"/>
      <c r="BG862" s="20"/>
      <c r="BH862" s="20"/>
      <c r="BI862" s="21"/>
      <c r="BJ862" s="21"/>
    </row>
    <row r="863" spans="1:62" ht="15.75" customHeight="1">
      <c r="A863" s="3"/>
      <c r="B863" s="3"/>
      <c r="C863" s="3"/>
      <c r="D863" s="3"/>
      <c r="E863" s="3"/>
      <c r="F863" s="3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  <c r="BB863" s="20"/>
      <c r="BC863" s="20"/>
      <c r="BD863" s="20"/>
      <c r="BE863" s="20"/>
      <c r="BF863" s="20"/>
      <c r="BG863" s="20"/>
      <c r="BH863" s="20"/>
      <c r="BI863" s="21"/>
      <c r="BJ863" s="21"/>
    </row>
    <row r="864" spans="1:62" ht="15.75" customHeight="1">
      <c r="A864" s="3"/>
      <c r="B864" s="3"/>
      <c r="C864" s="3"/>
      <c r="D864" s="3"/>
      <c r="E864" s="3"/>
      <c r="F864" s="3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  <c r="BB864" s="20"/>
      <c r="BC864" s="20"/>
      <c r="BD864" s="20"/>
      <c r="BE864" s="20"/>
      <c r="BF864" s="20"/>
      <c r="BG864" s="20"/>
      <c r="BH864" s="20"/>
      <c r="BI864" s="21"/>
      <c r="BJ864" s="21"/>
    </row>
    <row r="865" spans="1:62" ht="15.75" customHeight="1">
      <c r="A865" s="3"/>
      <c r="B865" s="3"/>
      <c r="C865" s="3"/>
      <c r="D865" s="3"/>
      <c r="E865" s="3"/>
      <c r="F865" s="3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  <c r="BB865" s="20"/>
      <c r="BC865" s="20"/>
      <c r="BD865" s="20"/>
      <c r="BE865" s="20"/>
      <c r="BF865" s="20"/>
      <c r="BG865" s="20"/>
      <c r="BH865" s="20"/>
      <c r="BI865" s="21"/>
      <c r="BJ865" s="21"/>
    </row>
    <row r="866" spans="1:62" ht="15.75" customHeight="1">
      <c r="A866" s="3"/>
      <c r="B866" s="3"/>
      <c r="C866" s="3"/>
      <c r="D866" s="3"/>
      <c r="E866" s="3"/>
      <c r="F866" s="3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  <c r="BB866" s="20"/>
      <c r="BC866" s="20"/>
      <c r="BD866" s="20"/>
      <c r="BE866" s="20"/>
      <c r="BF866" s="20"/>
      <c r="BG866" s="20"/>
      <c r="BH866" s="20"/>
      <c r="BI866" s="21"/>
      <c r="BJ866" s="21"/>
    </row>
    <row r="867" spans="1:62" ht="15.75" customHeight="1">
      <c r="A867" s="3"/>
      <c r="B867" s="3"/>
      <c r="C867" s="3"/>
      <c r="D867" s="3"/>
      <c r="E867" s="3"/>
      <c r="F867" s="3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  <c r="BB867" s="20"/>
      <c r="BC867" s="20"/>
      <c r="BD867" s="20"/>
      <c r="BE867" s="20"/>
      <c r="BF867" s="20"/>
      <c r="BG867" s="20"/>
      <c r="BH867" s="20"/>
      <c r="BI867" s="21"/>
      <c r="BJ867" s="21"/>
    </row>
    <row r="868" spans="1:62" ht="15.75" customHeight="1">
      <c r="A868" s="3"/>
      <c r="B868" s="3"/>
      <c r="C868" s="3"/>
      <c r="D868" s="3"/>
      <c r="E868" s="3"/>
      <c r="F868" s="3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  <c r="BB868" s="20"/>
      <c r="BC868" s="20"/>
      <c r="BD868" s="20"/>
      <c r="BE868" s="20"/>
      <c r="BF868" s="20"/>
      <c r="BG868" s="20"/>
      <c r="BH868" s="20"/>
      <c r="BI868" s="21"/>
      <c r="BJ868" s="21"/>
    </row>
    <row r="869" spans="1:62" ht="15.75" customHeight="1">
      <c r="A869" s="3"/>
      <c r="B869" s="3"/>
      <c r="C869" s="3"/>
      <c r="D869" s="3"/>
      <c r="E869" s="3"/>
      <c r="F869" s="3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  <c r="BB869" s="20"/>
      <c r="BC869" s="20"/>
      <c r="BD869" s="20"/>
      <c r="BE869" s="20"/>
      <c r="BF869" s="20"/>
      <c r="BG869" s="20"/>
      <c r="BH869" s="20"/>
      <c r="BI869" s="21"/>
      <c r="BJ869" s="21"/>
    </row>
    <row r="870" spans="1:62" ht="15.75" customHeight="1">
      <c r="A870" s="3"/>
      <c r="B870" s="3"/>
      <c r="C870" s="3"/>
      <c r="D870" s="3"/>
      <c r="E870" s="3"/>
      <c r="F870" s="3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  <c r="BB870" s="20"/>
      <c r="BC870" s="20"/>
      <c r="BD870" s="20"/>
      <c r="BE870" s="20"/>
      <c r="BF870" s="20"/>
      <c r="BG870" s="20"/>
      <c r="BH870" s="20"/>
      <c r="BI870" s="21"/>
      <c r="BJ870" s="21"/>
    </row>
    <row r="871" spans="1:62" ht="15.75" customHeight="1">
      <c r="A871" s="3"/>
      <c r="B871" s="3"/>
      <c r="C871" s="3"/>
      <c r="D871" s="3"/>
      <c r="E871" s="3"/>
      <c r="F871" s="3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  <c r="BB871" s="20"/>
      <c r="BC871" s="20"/>
      <c r="BD871" s="20"/>
      <c r="BE871" s="20"/>
      <c r="BF871" s="20"/>
      <c r="BG871" s="20"/>
      <c r="BH871" s="20"/>
      <c r="BI871" s="21"/>
      <c r="BJ871" s="21"/>
    </row>
    <row r="872" spans="1:62" ht="15.75" customHeight="1">
      <c r="A872" s="3"/>
      <c r="B872" s="3"/>
      <c r="C872" s="3"/>
      <c r="D872" s="3"/>
      <c r="E872" s="3"/>
      <c r="F872" s="3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  <c r="BB872" s="20"/>
      <c r="BC872" s="20"/>
      <c r="BD872" s="20"/>
      <c r="BE872" s="20"/>
      <c r="BF872" s="20"/>
      <c r="BG872" s="20"/>
      <c r="BH872" s="20"/>
      <c r="BI872" s="21"/>
      <c r="BJ872" s="21"/>
    </row>
    <row r="873" spans="1:62" ht="15.75" customHeight="1">
      <c r="A873" s="3"/>
      <c r="B873" s="3"/>
      <c r="C873" s="3"/>
      <c r="D873" s="3"/>
      <c r="E873" s="3"/>
      <c r="F873" s="3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  <c r="BB873" s="20"/>
      <c r="BC873" s="20"/>
      <c r="BD873" s="20"/>
      <c r="BE873" s="20"/>
      <c r="BF873" s="20"/>
      <c r="BG873" s="20"/>
      <c r="BH873" s="20"/>
      <c r="BI873" s="21"/>
      <c r="BJ873" s="21"/>
    </row>
    <row r="874" spans="1:62" ht="15.75" customHeight="1">
      <c r="A874" s="3"/>
      <c r="B874" s="3"/>
      <c r="C874" s="3"/>
      <c r="D874" s="3"/>
      <c r="E874" s="3"/>
      <c r="F874" s="3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  <c r="BB874" s="20"/>
      <c r="BC874" s="20"/>
      <c r="BD874" s="20"/>
      <c r="BE874" s="20"/>
      <c r="BF874" s="20"/>
      <c r="BG874" s="20"/>
      <c r="BH874" s="20"/>
      <c r="BI874" s="21"/>
      <c r="BJ874" s="21"/>
    </row>
    <row r="875" spans="1:62" ht="15.75" customHeight="1">
      <c r="A875" s="3"/>
      <c r="B875" s="3"/>
      <c r="C875" s="3"/>
      <c r="D875" s="3"/>
      <c r="E875" s="3"/>
      <c r="F875" s="3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  <c r="BB875" s="20"/>
      <c r="BC875" s="20"/>
      <c r="BD875" s="20"/>
      <c r="BE875" s="20"/>
      <c r="BF875" s="20"/>
      <c r="BG875" s="20"/>
      <c r="BH875" s="20"/>
      <c r="BI875" s="21"/>
      <c r="BJ875" s="21"/>
    </row>
    <row r="876" spans="1:62" ht="15.75" customHeight="1">
      <c r="A876" s="3"/>
      <c r="B876" s="3"/>
      <c r="C876" s="3"/>
      <c r="D876" s="3"/>
      <c r="E876" s="3"/>
      <c r="F876" s="3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  <c r="BB876" s="20"/>
      <c r="BC876" s="20"/>
      <c r="BD876" s="20"/>
      <c r="BE876" s="20"/>
      <c r="BF876" s="20"/>
      <c r="BG876" s="20"/>
      <c r="BH876" s="20"/>
      <c r="BI876" s="21"/>
      <c r="BJ876" s="21"/>
    </row>
    <row r="877" spans="1:62" ht="15.75" customHeight="1">
      <c r="A877" s="3"/>
      <c r="B877" s="3"/>
      <c r="C877" s="3"/>
      <c r="D877" s="3"/>
      <c r="E877" s="3"/>
      <c r="F877" s="3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  <c r="BB877" s="20"/>
      <c r="BC877" s="20"/>
      <c r="BD877" s="20"/>
      <c r="BE877" s="20"/>
      <c r="BF877" s="20"/>
      <c r="BG877" s="20"/>
      <c r="BH877" s="20"/>
      <c r="BI877" s="21"/>
      <c r="BJ877" s="21"/>
    </row>
    <row r="878" spans="1:62" ht="15.75" customHeight="1">
      <c r="A878" s="3"/>
      <c r="B878" s="3"/>
      <c r="C878" s="3"/>
      <c r="D878" s="3"/>
      <c r="E878" s="3"/>
      <c r="F878" s="3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  <c r="BB878" s="20"/>
      <c r="BC878" s="20"/>
      <c r="BD878" s="20"/>
      <c r="BE878" s="20"/>
      <c r="BF878" s="20"/>
      <c r="BG878" s="20"/>
      <c r="BH878" s="20"/>
      <c r="BI878" s="21"/>
      <c r="BJ878" s="21"/>
    </row>
    <row r="879" spans="1:62" ht="15.75" customHeight="1">
      <c r="A879" s="3"/>
      <c r="B879" s="3"/>
      <c r="C879" s="3"/>
      <c r="D879" s="3"/>
      <c r="E879" s="3"/>
      <c r="F879" s="3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  <c r="BB879" s="20"/>
      <c r="BC879" s="20"/>
      <c r="BD879" s="20"/>
      <c r="BE879" s="20"/>
      <c r="BF879" s="20"/>
      <c r="BG879" s="20"/>
      <c r="BH879" s="20"/>
      <c r="BI879" s="21"/>
      <c r="BJ879" s="21"/>
    </row>
    <row r="880" spans="1:62" ht="15.75" customHeight="1">
      <c r="A880" s="3"/>
      <c r="B880" s="3"/>
      <c r="C880" s="3"/>
      <c r="D880" s="3"/>
      <c r="E880" s="3"/>
      <c r="F880" s="3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  <c r="BB880" s="20"/>
      <c r="BC880" s="20"/>
      <c r="BD880" s="20"/>
      <c r="BE880" s="20"/>
      <c r="BF880" s="20"/>
      <c r="BG880" s="20"/>
      <c r="BH880" s="20"/>
      <c r="BI880" s="21"/>
      <c r="BJ880" s="21"/>
    </row>
    <row r="881" spans="1:62" ht="15.75" customHeight="1">
      <c r="A881" s="3"/>
      <c r="B881" s="3"/>
      <c r="C881" s="3"/>
      <c r="D881" s="3"/>
      <c r="E881" s="3"/>
      <c r="F881" s="3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  <c r="BB881" s="20"/>
      <c r="BC881" s="20"/>
      <c r="BD881" s="20"/>
      <c r="BE881" s="20"/>
      <c r="BF881" s="20"/>
      <c r="BG881" s="20"/>
      <c r="BH881" s="20"/>
      <c r="BI881" s="21"/>
      <c r="BJ881" s="21"/>
    </row>
    <row r="882" spans="1:62" ht="15.75" customHeight="1">
      <c r="A882" s="3"/>
      <c r="B882" s="3"/>
      <c r="C882" s="3"/>
      <c r="D882" s="3"/>
      <c r="E882" s="3"/>
      <c r="F882" s="3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  <c r="BB882" s="20"/>
      <c r="BC882" s="20"/>
      <c r="BD882" s="20"/>
      <c r="BE882" s="20"/>
      <c r="BF882" s="20"/>
      <c r="BG882" s="20"/>
      <c r="BH882" s="20"/>
      <c r="BI882" s="21"/>
      <c r="BJ882" s="21"/>
    </row>
    <row r="883" spans="1:62" ht="15.75" customHeight="1">
      <c r="A883" s="3"/>
      <c r="B883" s="3"/>
      <c r="C883" s="3"/>
      <c r="D883" s="3"/>
      <c r="E883" s="3"/>
      <c r="F883" s="3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  <c r="BB883" s="20"/>
      <c r="BC883" s="20"/>
      <c r="BD883" s="20"/>
      <c r="BE883" s="20"/>
      <c r="BF883" s="20"/>
      <c r="BG883" s="20"/>
      <c r="BH883" s="20"/>
      <c r="BI883" s="21"/>
      <c r="BJ883" s="21"/>
    </row>
    <row r="884" spans="1:62" ht="15.75" customHeight="1">
      <c r="A884" s="3"/>
      <c r="B884" s="3"/>
      <c r="C884" s="3"/>
      <c r="D884" s="3"/>
      <c r="E884" s="3"/>
      <c r="F884" s="3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  <c r="BB884" s="20"/>
      <c r="BC884" s="20"/>
      <c r="BD884" s="20"/>
      <c r="BE884" s="20"/>
      <c r="BF884" s="20"/>
      <c r="BG884" s="20"/>
      <c r="BH884" s="20"/>
      <c r="BI884" s="21"/>
      <c r="BJ884" s="21"/>
    </row>
    <row r="885" spans="1:62" ht="15.75" customHeight="1">
      <c r="A885" s="3"/>
      <c r="B885" s="3"/>
      <c r="C885" s="3"/>
      <c r="D885" s="3"/>
      <c r="E885" s="3"/>
      <c r="F885" s="3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  <c r="BB885" s="20"/>
      <c r="BC885" s="20"/>
      <c r="BD885" s="20"/>
      <c r="BE885" s="20"/>
      <c r="BF885" s="20"/>
      <c r="BG885" s="20"/>
      <c r="BH885" s="20"/>
      <c r="BI885" s="21"/>
      <c r="BJ885" s="21"/>
    </row>
    <row r="886" spans="1:62" ht="15.75" customHeight="1">
      <c r="A886" s="3"/>
      <c r="B886" s="3"/>
      <c r="C886" s="3"/>
      <c r="D886" s="3"/>
      <c r="E886" s="3"/>
      <c r="F886" s="3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  <c r="BB886" s="20"/>
      <c r="BC886" s="20"/>
      <c r="BD886" s="20"/>
      <c r="BE886" s="20"/>
      <c r="BF886" s="20"/>
      <c r="BG886" s="20"/>
      <c r="BH886" s="20"/>
      <c r="BI886" s="21"/>
      <c r="BJ886" s="21"/>
    </row>
    <row r="887" spans="1:62" ht="15.75" customHeight="1">
      <c r="A887" s="3"/>
      <c r="B887" s="3"/>
      <c r="C887" s="3"/>
      <c r="D887" s="3"/>
      <c r="E887" s="3"/>
      <c r="F887" s="3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  <c r="BB887" s="20"/>
      <c r="BC887" s="20"/>
      <c r="BD887" s="20"/>
      <c r="BE887" s="20"/>
      <c r="BF887" s="20"/>
      <c r="BG887" s="20"/>
      <c r="BH887" s="20"/>
      <c r="BI887" s="21"/>
      <c r="BJ887" s="21"/>
    </row>
    <row r="888" spans="1:62" ht="15.75" customHeight="1">
      <c r="A888" s="3"/>
      <c r="B888" s="3"/>
      <c r="C888" s="3"/>
      <c r="D888" s="3"/>
      <c r="E888" s="3"/>
      <c r="F888" s="3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  <c r="BB888" s="20"/>
      <c r="BC888" s="20"/>
      <c r="BD888" s="20"/>
      <c r="BE888" s="20"/>
      <c r="BF888" s="20"/>
      <c r="BG888" s="20"/>
      <c r="BH888" s="20"/>
      <c r="BI888" s="21"/>
      <c r="BJ888" s="21"/>
    </row>
    <row r="889" spans="1:62" ht="15.75" customHeight="1">
      <c r="A889" s="3"/>
      <c r="B889" s="3"/>
      <c r="C889" s="3"/>
      <c r="D889" s="3"/>
      <c r="E889" s="3"/>
      <c r="F889" s="3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1"/>
      <c r="BJ889" s="21"/>
    </row>
    <row r="890" spans="1:62" ht="15.75" customHeight="1">
      <c r="A890" s="3"/>
      <c r="B890" s="3"/>
      <c r="C890" s="3"/>
      <c r="D890" s="3"/>
      <c r="E890" s="3"/>
      <c r="F890" s="3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  <c r="BB890" s="20"/>
      <c r="BC890" s="20"/>
      <c r="BD890" s="20"/>
      <c r="BE890" s="20"/>
      <c r="BF890" s="20"/>
      <c r="BG890" s="20"/>
      <c r="BH890" s="20"/>
      <c r="BI890" s="21"/>
      <c r="BJ890" s="21"/>
    </row>
    <row r="891" spans="1:62" ht="15.75" customHeight="1">
      <c r="A891" s="3"/>
      <c r="B891" s="3"/>
      <c r="C891" s="3"/>
      <c r="D891" s="3"/>
      <c r="E891" s="3"/>
      <c r="F891" s="3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  <c r="BB891" s="20"/>
      <c r="BC891" s="20"/>
      <c r="BD891" s="20"/>
      <c r="BE891" s="20"/>
      <c r="BF891" s="20"/>
      <c r="BG891" s="20"/>
      <c r="BH891" s="20"/>
      <c r="BI891" s="21"/>
      <c r="BJ891" s="21"/>
    </row>
    <row r="892" spans="1:62" ht="15.75" customHeight="1">
      <c r="A892" s="3"/>
      <c r="B892" s="3"/>
      <c r="C892" s="3"/>
      <c r="D892" s="3"/>
      <c r="E892" s="3"/>
      <c r="F892" s="3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  <c r="BB892" s="20"/>
      <c r="BC892" s="20"/>
      <c r="BD892" s="20"/>
      <c r="BE892" s="20"/>
      <c r="BF892" s="20"/>
      <c r="BG892" s="20"/>
      <c r="BH892" s="20"/>
      <c r="BI892" s="21"/>
      <c r="BJ892" s="21"/>
    </row>
    <row r="893" spans="1:62" ht="15.75" customHeight="1">
      <c r="A893" s="3"/>
      <c r="B893" s="3"/>
      <c r="C893" s="3"/>
      <c r="D893" s="3"/>
      <c r="E893" s="3"/>
      <c r="F893" s="3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  <c r="BB893" s="20"/>
      <c r="BC893" s="20"/>
      <c r="BD893" s="20"/>
      <c r="BE893" s="20"/>
      <c r="BF893" s="20"/>
      <c r="BG893" s="20"/>
      <c r="BH893" s="20"/>
      <c r="BI893" s="21"/>
      <c r="BJ893" s="21"/>
    </row>
    <row r="894" spans="1:62" ht="15.75" customHeight="1">
      <c r="A894" s="3"/>
      <c r="B894" s="3"/>
      <c r="C894" s="3"/>
      <c r="D894" s="3"/>
      <c r="E894" s="3"/>
      <c r="F894" s="3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1"/>
      <c r="BJ894" s="21"/>
    </row>
    <row r="895" spans="1:62" ht="15.75" customHeight="1">
      <c r="A895" s="3"/>
      <c r="B895" s="3"/>
      <c r="C895" s="3"/>
      <c r="D895" s="3"/>
      <c r="E895" s="3"/>
      <c r="F895" s="3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  <c r="BB895" s="20"/>
      <c r="BC895" s="20"/>
      <c r="BD895" s="20"/>
      <c r="BE895" s="20"/>
      <c r="BF895" s="20"/>
      <c r="BG895" s="20"/>
      <c r="BH895" s="20"/>
      <c r="BI895" s="21"/>
      <c r="BJ895" s="21"/>
    </row>
    <row r="896" spans="1:62" ht="15.75" customHeight="1">
      <c r="A896" s="3"/>
      <c r="B896" s="3"/>
      <c r="C896" s="3"/>
      <c r="D896" s="3"/>
      <c r="E896" s="3"/>
      <c r="F896" s="3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  <c r="BB896" s="20"/>
      <c r="BC896" s="20"/>
      <c r="BD896" s="20"/>
      <c r="BE896" s="20"/>
      <c r="BF896" s="20"/>
      <c r="BG896" s="20"/>
      <c r="BH896" s="20"/>
      <c r="BI896" s="21"/>
      <c r="BJ896" s="21"/>
    </row>
    <row r="897" spans="1:62" ht="15.75" customHeight="1">
      <c r="A897" s="3"/>
      <c r="B897" s="3"/>
      <c r="C897" s="3"/>
      <c r="D897" s="3"/>
      <c r="E897" s="3"/>
      <c r="F897" s="3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1"/>
      <c r="BJ897" s="21"/>
    </row>
    <row r="898" spans="1:62" ht="15.75" customHeight="1">
      <c r="A898" s="3"/>
      <c r="B898" s="3"/>
      <c r="C898" s="3"/>
      <c r="D898" s="3"/>
      <c r="E898" s="3"/>
      <c r="F898" s="3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  <c r="BB898" s="20"/>
      <c r="BC898" s="20"/>
      <c r="BD898" s="20"/>
      <c r="BE898" s="20"/>
      <c r="BF898" s="20"/>
      <c r="BG898" s="20"/>
      <c r="BH898" s="20"/>
      <c r="BI898" s="21"/>
      <c r="BJ898" s="21"/>
    </row>
    <row r="899" spans="1:62" ht="15.75" customHeight="1">
      <c r="A899" s="3"/>
      <c r="B899" s="3"/>
      <c r="C899" s="3"/>
      <c r="D899" s="3"/>
      <c r="E899" s="3"/>
      <c r="F899" s="3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  <c r="BB899" s="20"/>
      <c r="BC899" s="20"/>
      <c r="BD899" s="20"/>
      <c r="BE899" s="20"/>
      <c r="BF899" s="20"/>
      <c r="BG899" s="20"/>
      <c r="BH899" s="20"/>
      <c r="BI899" s="21"/>
      <c r="BJ899" s="21"/>
    </row>
    <row r="900" spans="1:62" ht="15.75" customHeight="1">
      <c r="A900" s="3"/>
      <c r="B900" s="3"/>
      <c r="C900" s="3"/>
      <c r="D900" s="3"/>
      <c r="E900" s="3"/>
      <c r="F900" s="3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1"/>
      <c r="BJ900" s="21"/>
    </row>
    <row r="901" spans="1:62" ht="15.75" customHeight="1">
      <c r="A901" s="3"/>
      <c r="B901" s="3"/>
      <c r="C901" s="3"/>
      <c r="D901" s="3"/>
      <c r="E901" s="3"/>
      <c r="F901" s="3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  <c r="BB901" s="20"/>
      <c r="BC901" s="20"/>
      <c r="BD901" s="20"/>
      <c r="BE901" s="20"/>
      <c r="BF901" s="20"/>
      <c r="BG901" s="20"/>
      <c r="BH901" s="20"/>
      <c r="BI901" s="21"/>
      <c r="BJ901" s="21"/>
    </row>
    <row r="902" spans="1:62" ht="15.75" customHeight="1">
      <c r="A902" s="3"/>
      <c r="B902" s="3"/>
      <c r="C902" s="3"/>
      <c r="D902" s="3"/>
      <c r="E902" s="3"/>
      <c r="F902" s="3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  <c r="BB902" s="20"/>
      <c r="BC902" s="20"/>
      <c r="BD902" s="20"/>
      <c r="BE902" s="20"/>
      <c r="BF902" s="20"/>
      <c r="BG902" s="20"/>
      <c r="BH902" s="20"/>
      <c r="BI902" s="21"/>
      <c r="BJ902" s="21"/>
    </row>
    <row r="903" spans="1:62" ht="15.75" customHeight="1">
      <c r="A903" s="3"/>
      <c r="B903" s="3"/>
      <c r="C903" s="3"/>
      <c r="D903" s="3"/>
      <c r="E903" s="3"/>
      <c r="F903" s="3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  <c r="BB903" s="20"/>
      <c r="BC903" s="20"/>
      <c r="BD903" s="20"/>
      <c r="BE903" s="20"/>
      <c r="BF903" s="20"/>
      <c r="BG903" s="20"/>
      <c r="BH903" s="20"/>
      <c r="BI903" s="21"/>
      <c r="BJ903" s="21"/>
    </row>
    <row r="904" spans="1:62" ht="15.75" customHeight="1">
      <c r="A904" s="3"/>
      <c r="B904" s="3"/>
      <c r="C904" s="3"/>
      <c r="D904" s="3"/>
      <c r="E904" s="3"/>
      <c r="F904" s="3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1"/>
      <c r="BJ904" s="21"/>
    </row>
    <row r="905" spans="1:62" ht="15.75" customHeight="1">
      <c r="A905" s="3"/>
      <c r="B905" s="3"/>
      <c r="C905" s="3"/>
      <c r="D905" s="3"/>
      <c r="E905" s="3"/>
      <c r="F905" s="3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  <c r="BB905" s="20"/>
      <c r="BC905" s="20"/>
      <c r="BD905" s="20"/>
      <c r="BE905" s="20"/>
      <c r="BF905" s="20"/>
      <c r="BG905" s="20"/>
      <c r="BH905" s="20"/>
      <c r="BI905" s="21"/>
      <c r="BJ905" s="21"/>
    </row>
    <row r="906" spans="1:62" ht="15.75" customHeight="1">
      <c r="A906" s="3"/>
      <c r="B906" s="3"/>
      <c r="C906" s="3"/>
      <c r="D906" s="3"/>
      <c r="E906" s="3"/>
      <c r="F906" s="3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  <c r="BB906" s="20"/>
      <c r="BC906" s="20"/>
      <c r="BD906" s="20"/>
      <c r="BE906" s="20"/>
      <c r="BF906" s="20"/>
      <c r="BG906" s="20"/>
      <c r="BH906" s="20"/>
      <c r="BI906" s="21"/>
      <c r="BJ906" s="21"/>
    </row>
    <row r="907" spans="1:62" ht="15.75" customHeight="1">
      <c r="A907" s="3"/>
      <c r="B907" s="3"/>
      <c r="C907" s="3"/>
      <c r="D907" s="3"/>
      <c r="E907" s="3"/>
      <c r="F907" s="3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  <c r="BB907" s="20"/>
      <c r="BC907" s="20"/>
      <c r="BD907" s="20"/>
      <c r="BE907" s="20"/>
      <c r="BF907" s="20"/>
      <c r="BG907" s="20"/>
      <c r="BH907" s="20"/>
      <c r="BI907" s="21"/>
      <c r="BJ907" s="21"/>
    </row>
    <row r="908" spans="1:62" ht="15.75" customHeight="1">
      <c r="A908" s="3"/>
      <c r="B908" s="3"/>
      <c r="C908" s="3"/>
      <c r="D908" s="3"/>
      <c r="E908" s="3"/>
      <c r="F908" s="3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  <c r="BB908" s="20"/>
      <c r="BC908" s="20"/>
      <c r="BD908" s="20"/>
      <c r="BE908" s="20"/>
      <c r="BF908" s="20"/>
      <c r="BG908" s="20"/>
      <c r="BH908" s="20"/>
      <c r="BI908" s="21"/>
      <c r="BJ908" s="21"/>
    </row>
    <row r="909" spans="1:62" ht="15.75" customHeight="1">
      <c r="A909" s="3"/>
      <c r="B909" s="3"/>
      <c r="C909" s="3"/>
      <c r="D909" s="3"/>
      <c r="E909" s="3"/>
      <c r="F909" s="3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  <c r="BB909" s="20"/>
      <c r="BC909" s="20"/>
      <c r="BD909" s="20"/>
      <c r="BE909" s="20"/>
      <c r="BF909" s="20"/>
      <c r="BG909" s="20"/>
      <c r="BH909" s="20"/>
      <c r="BI909" s="21"/>
      <c r="BJ909" s="21"/>
    </row>
    <row r="910" spans="1:62" ht="15.75" customHeight="1">
      <c r="A910" s="3"/>
      <c r="B910" s="3"/>
      <c r="C910" s="3"/>
      <c r="D910" s="3"/>
      <c r="E910" s="3"/>
      <c r="F910" s="3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  <c r="BB910" s="20"/>
      <c r="BC910" s="20"/>
      <c r="BD910" s="20"/>
      <c r="BE910" s="20"/>
      <c r="BF910" s="20"/>
      <c r="BG910" s="20"/>
      <c r="BH910" s="20"/>
      <c r="BI910" s="21"/>
      <c r="BJ910" s="21"/>
    </row>
    <row r="911" spans="1:62" ht="15.75" customHeight="1">
      <c r="A911" s="3"/>
      <c r="B911" s="3"/>
      <c r="C911" s="3"/>
      <c r="D911" s="3"/>
      <c r="E911" s="3"/>
      <c r="F911" s="3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  <c r="BB911" s="20"/>
      <c r="BC911" s="20"/>
      <c r="BD911" s="20"/>
      <c r="BE911" s="20"/>
      <c r="BF911" s="20"/>
      <c r="BG911" s="20"/>
      <c r="BH911" s="20"/>
      <c r="BI911" s="21"/>
      <c r="BJ911" s="21"/>
    </row>
    <row r="912" spans="1:62" ht="15.75" customHeight="1">
      <c r="A912" s="3"/>
      <c r="B912" s="3"/>
      <c r="C912" s="3"/>
      <c r="D912" s="3"/>
      <c r="E912" s="3"/>
      <c r="F912" s="3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  <c r="BB912" s="20"/>
      <c r="BC912" s="20"/>
      <c r="BD912" s="20"/>
      <c r="BE912" s="20"/>
      <c r="BF912" s="20"/>
      <c r="BG912" s="20"/>
      <c r="BH912" s="20"/>
      <c r="BI912" s="21"/>
      <c r="BJ912" s="21"/>
    </row>
    <row r="913" spans="1:62" ht="15.75" customHeight="1">
      <c r="A913" s="3"/>
      <c r="B913" s="3"/>
      <c r="C913" s="3"/>
      <c r="D913" s="3"/>
      <c r="E913" s="3"/>
      <c r="F913" s="3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  <c r="BB913" s="20"/>
      <c r="BC913" s="20"/>
      <c r="BD913" s="20"/>
      <c r="BE913" s="20"/>
      <c r="BF913" s="20"/>
      <c r="BG913" s="20"/>
      <c r="BH913" s="20"/>
      <c r="BI913" s="21"/>
      <c r="BJ913" s="21"/>
    </row>
    <row r="914" spans="1:62" ht="15.75" customHeight="1">
      <c r="A914" s="3"/>
      <c r="B914" s="3"/>
      <c r="C914" s="3"/>
      <c r="D914" s="3"/>
      <c r="E914" s="3"/>
      <c r="F914" s="3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  <c r="BB914" s="20"/>
      <c r="BC914" s="20"/>
      <c r="BD914" s="20"/>
      <c r="BE914" s="20"/>
      <c r="BF914" s="20"/>
      <c r="BG914" s="20"/>
      <c r="BH914" s="20"/>
      <c r="BI914" s="21"/>
      <c r="BJ914" s="21"/>
    </row>
    <row r="915" spans="1:62" ht="15.75" customHeight="1">
      <c r="A915" s="3"/>
      <c r="B915" s="3"/>
      <c r="C915" s="3"/>
      <c r="D915" s="3"/>
      <c r="E915" s="3"/>
      <c r="F915" s="3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  <c r="BB915" s="20"/>
      <c r="BC915" s="20"/>
      <c r="BD915" s="20"/>
      <c r="BE915" s="20"/>
      <c r="BF915" s="20"/>
      <c r="BG915" s="20"/>
      <c r="BH915" s="20"/>
      <c r="BI915" s="21"/>
      <c r="BJ915" s="21"/>
    </row>
    <row r="916" spans="1:62" ht="15.75" customHeight="1">
      <c r="A916" s="3"/>
      <c r="B916" s="3"/>
      <c r="C916" s="3"/>
      <c r="D916" s="3"/>
      <c r="E916" s="3"/>
      <c r="F916" s="3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  <c r="BB916" s="20"/>
      <c r="BC916" s="20"/>
      <c r="BD916" s="20"/>
      <c r="BE916" s="20"/>
      <c r="BF916" s="20"/>
      <c r="BG916" s="20"/>
      <c r="BH916" s="20"/>
      <c r="BI916" s="21"/>
      <c r="BJ916" s="21"/>
    </row>
    <row r="917" spans="1:62" ht="15.75" customHeight="1">
      <c r="A917" s="3"/>
      <c r="B917" s="3"/>
      <c r="C917" s="3"/>
      <c r="D917" s="3"/>
      <c r="E917" s="3"/>
      <c r="F917" s="3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  <c r="BB917" s="20"/>
      <c r="BC917" s="20"/>
      <c r="BD917" s="20"/>
      <c r="BE917" s="20"/>
      <c r="BF917" s="20"/>
      <c r="BG917" s="20"/>
      <c r="BH917" s="20"/>
      <c r="BI917" s="21"/>
      <c r="BJ917" s="21"/>
    </row>
    <row r="918" spans="1:62" ht="15.75" customHeight="1">
      <c r="A918" s="3"/>
      <c r="B918" s="3"/>
      <c r="C918" s="3"/>
      <c r="D918" s="3"/>
      <c r="E918" s="3"/>
      <c r="F918" s="3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  <c r="BB918" s="20"/>
      <c r="BC918" s="20"/>
      <c r="BD918" s="20"/>
      <c r="BE918" s="20"/>
      <c r="BF918" s="20"/>
      <c r="BG918" s="20"/>
      <c r="BH918" s="20"/>
      <c r="BI918" s="21"/>
      <c r="BJ918" s="21"/>
    </row>
    <row r="919" spans="1:62" ht="15.75" customHeight="1">
      <c r="A919" s="3"/>
      <c r="B919" s="3"/>
      <c r="C919" s="3"/>
      <c r="D919" s="3"/>
      <c r="E919" s="3"/>
      <c r="F919" s="3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  <c r="BB919" s="20"/>
      <c r="BC919" s="20"/>
      <c r="BD919" s="20"/>
      <c r="BE919" s="20"/>
      <c r="BF919" s="20"/>
      <c r="BG919" s="20"/>
      <c r="BH919" s="20"/>
      <c r="BI919" s="21"/>
      <c r="BJ919" s="21"/>
    </row>
    <row r="920" spans="1:62" ht="15.75" customHeight="1">
      <c r="A920" s="3"/>
      <c r="B920" s="3"/>
      <c r="C920" s="3"/>
      <c r="D920" s="3"/>
      <c r="E920" s="3"/>
      <c r="F920" s="3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  <c r="BB920" s="20"/>
      <c r="BC920" s="20"/>
      <c r="BD920" s="20"/>
      <c r="BE920" s="20"/>
      <c r="BF920" s="20"/>
      <c r="BG920" s="20"/>
      <c r="BH920" s="20"/>
      <c r="BI920" s="21"/>
      <c r="BJ920" s="21"/>
    </row>
    <row r="921" spans="1:62" ht="15.75" customHeight="1">
      <c r="A921" s="3"/>
      <c r="B921" s="3"/>
      <c r="C921" s="3"/>
      <c r="D921" s="3"/>
      <c r="E921" s="3"/>
      <c r="F921" s="3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  <c r="BB921" s="20"/>
      <c r="BC921" s="20"/>
      <c r="BD921" s="20"/>
      <c r="BE921" s="20"/>
      <c r="BF921" s="20"/>
      <c r="BG921" s="20"/>
      <c r="BH921" s="20"/>
      <c r="BI921" s="21"/>
      <c r="BJ921" s="21"/>
    </row>
    <row r="922" spans="1:62" ht="15.75" customHeight="1">
      <c r="A922" s="3"/>
      <c r="B922" s="3"/>
      <c r="C922" s="3"/>
      <c r="D922" s="3"/>
      <c r="E922" s="3"/>
      <c r="F922" s="3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  <c r="BB922" s="20"/>
      <c r="BC922" s="20"/>
      <c r="BD922" s="20"/>
      <c r="BE922" s="20"/>
      <c r="BF922" s="20"/>
      <c r="BG922" s="20"/>
      <c r="BH922" s="20"/>
      <c r="BI922" s="21"/>
      <c r="BJ922" s="21"/>
    </row>
    <row r="923" spans="1:62" ht="15.75" customHeight="1">
      <c r="A923" s="3"/>
      <c r="B923" s="3"/>
      <c r="C923" s="3"/>
      <c r="D923" s="3"/>
      <c r="E923" s="3"/>
      <c r="F923" s="3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  <c r="BB923" s="20"/>
      <c r="BC923" s="20"/>
      <c r="BD923" s="20"/>
      <c r="BE923" s="20"/>
      <c r="BF923" s="20"/>
      <c r="BG923" s="20"/>
      <c r="BH923" s="20"/>
      <c r="BI923" s="21"/>
      <c r="BJ923" s="21"/>
    </row>
    <row r="924" spans="1:62" ht="15.75" customHeight="1">
      <c r="A924" s="3"/>
      <c r="B924" s="3"/>
      <c r="C924" s="3"/>
      <c r="D924" s="3"/>
      <c r="E924" s="3"/>
      <c r="F924" s="3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  <c r="BB924" s="20"/>
      <c r="BC924" s="20"/>
      <c r="BD924" s="20"/>
      <c r="BE924" s="20"/>
      <c r="BF924" s="20"/>
      <c r="BG924" s="20"/>
      <c r="BH924" s="20"/>
      <c r="BI924" s="21"/>
      <c r="BJ924" s="21"/>
    </row>
    <row r="925" spans="1:62" ht="15.75" customHeight="1">
      <c r="A925" s="3"/>
      <c r="B925" s="3"/>
      <c r="C925" s="3"/>
      <c r="D925" s="3"/>
      <c r="E925" s="3"/>
      <c r="F925" s="3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  <c r="BB925" s="20"/>
      <c r="BC925" s="20"/>
      <c r="BD925" s="20"/>
      <c r="BE925" s="20"/>
      <c r="BF925" s="20"/>
      <c r="BG925" s="20"/>
      <c r="BH925" s="20"/>
      <c r="BI925" s="21"/>
      <c r="BJ925" s="21"/>
    </row>
    <row r="926" spans="1:62" ht="15.75" customHeight="1">
      <c r="A926" s="3"/>
      <c r="B926" s="3"/>
      <c r="C926" s="3"/>
      <c r="D926" s="3"/>
      <c r="E926" s="3"/>
      <c r="F926" s="3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  <c r="BB926" s="20"/>
      <c r="BC926" s="20"/>
      <c r="BD926" s="20"/>
      <c r="BE926" s="20"/>
      <c r="BF926" s="20"/>
      <c r="BG926" s="20"/>
      <c r="BH926" s="20"/>
      <c r="BI926" s="21"/>
      <c r="BJ926" s="21"/>
    </row>
    <row r="927" spans="1:62" ht="15.75" customHeight="1">
      <c r="A927" s="3"/>
      <c r="B927" s="3"/>
      <c r="C927" s="3"/>
      <c r="D927" s="3"/>
      <c r="E927" s="3"/>
      <c r="F927" s="3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  <c r="BB927" s="20"/>
      <c r="BC927" s="20"/>
      <c r="BD927" s="20"/>
      <c r="BE927" s="20"/>
      <c r="BF927" s="20"/>
      <c r="BG927" s="20"/>
      <c r="BH927" s="20"/>
      <c r="BI927" s="21"/>
      <c r="BJ927" s="21"/>
    </row>
    <row r="928" spans="1:62" ht="15.75" customHeight="1">
      <c r="A928" s="3"/>
      <c r="B928" s="3"/>
      <c r="C928" s="3"/>
      <c r="D928" s="3"/>
      <c r="E928" s="3"/>
      <c r="F928" s="3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1"/>
      <c r="BJ928" s="21"/>
    </row>
    <row r="929" spans="1:62" ht="15.75" customHeight="1">
      <c r="A929" s="3"/>
      <c r="B929" s="3"/>
      <c r="C929" s="3"/>
      <c r="D929" s="3"/>
      <c r="E929" s="3"/>
      <c r="F929" s="3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  <c r="BB929" s="20"/>
      <c r="BC929" s="20"/>
      <c r="BD929" s="20"/>
      <c r="BE929" s="20"/>
      <c r="BF929" s="20"/>
      <c r="BG929" s="20"/>
      <c r="BH929" s="20"/>
      <c r="BI929" s="21"/>
      <c r="BJ929" s="21"/>
    </row>
    <row r="930" spans="1:62" ht="15.75" customHeight="1">
      <c r="A930" s="3"/>
      <c r="B930" s="3"/>
      <c r="C930" s="3"/>
      <c r="D930" s="3"/>
      <c r="E930" s="3"/>
      <c r="F930" s="3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  <c r="BB930" s="20"/>
      <c r="BC930" s="20"/>
      <c r="BD930" s="20"/>
      <c r="BE930" s="20"/>
      <c r="BF930" s="20"/>
      <c r="BG930" s="20"/>
      <c r="BH930" s="20"/>
      <c r="BI930" s="21"/>
      <c r="BJ930" s="21"/>
    </row>
    <row r="931" spans="1:62" ht="15.75" customHeight="1">
      <c r="A931" s="3"/>
      <c r="B931" s="3"/>
      <c r="C931" s="3"/>
      <c r="D931" s="3"/>
      <c r="E931" s="3"/>
      <c r="F931" s="3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1"/>
      <c r="BJ931" s="21"/>
    </row>
    <row r="932" spans="1:62" ht="15.75" customHeight="1">
      <c r="A932" s="3"/>
      <c r="B932" s="3"/>
      <c r="C932" s="3"/>
      <c r="D932" s="3"/>
      <c r="E932" s="3"/>
      <c r="F932" s="3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  <c r="BB932" s="20"/>
      <c r="BC932" s="20"/>
      <c r="BD932" s="20"/>
      <c r="BE932" s="20"/>
      <c r="BF932" s="20"/>
      <c r="BG932" s="20"/>
      <c r="BH932" s="20"/>
      <c r="BI932" s="21"/>
      <c r="BJ932" s="21"/>
    </row>
    <row r="933" spans="1:62" ht="15.75" customHeight="1">
      <c r="A933" s="3"/>
      <c r="B933" s="3"/>
      <c r="C933" s="3"/>
      <c r="D933" s="3"/>
      <c r="E933" s="3"/>
      <c r="F933" s="3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  <c r="BB933" s="20"/>
      <c r="BC933" s="20"/>
      <c r="BD933" s="20"/>
      <c r="BE933" s="20"/>
      <c r="BF933" s="20"/>
      <c r="BG933" s="20"/>
      <c r="BH933" s="20"/>
      <c r="BI933" s="21"/>
      <c r="BJ933" s="21"/>
    </row>
    <row r="934" spans="1:62" ht="15.75" customHeight="1">
      <c r="A934" s="3"/>
      <c r="B934" s="3"/>
      <c r="C934" s="3"/>
      <c r="D934" s="3"/>
      <c r="E934" s="3"/>
      <c r="F934" s="3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  <c r="BB934" s="20"/>
      <c r="BC934" s="20"/>
      <c r="BD934" s="20"/>
      <c r="BE934" s="20"/>
      <c r="BF934" s="20"/>
      <c r="BG934" s="20"/>
      <c r="BH934" s="20"/>
      <c r="BI934" s="21"/>
      <c r="BJ934" s="21"/>
    </row>
    <row r="935" spans="1:62" ht="15.75" customHeight="1">
      <c r="A935" s="3"/>
      <c r="B935" s="3"/>
      <c r="C935" s="3"/>
      <c r="D935" s="3"/>
      <c r="E935" s="3"/>
      <c r="F935" s="3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  <c r="BB935" s="20"/>
      <c r="BC935" s="20"/>
      <c r="BD935" s="20"/>
      <c r="BE935" s="20"/>
      <c r="BF935" s="20"/>
      <c r="BG935" s="20"/>
      <c r="BH935" s="20"/>
      <c r="BI935" s="21"/>
      <c r="BJ935" s="21"/>
    </row>
    <row r="936" spans="1:62" ht="15.75" customHeight="1">
      <c r="A936" s="3"/>
      <c r="B936" s="3"/>
      <c r="C936" s="3"/>
      <c r="D936" s="3"/>
      <c r="E936" s="3"/>
      <c r="F936" s="3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  <c r="BB936" s="20"/>
      <c r="BC936" s="20"/>
      <c r="BD936" s="20"/>
      <c r="BE936" s="20"/>
      <c r="BF936" s="20"/>
      <c r="BG936" s="20"/>
      <c r="BH936" s="20"/>
      <c r="BI936" s="21"/>
      <c r="BJ936" s="21"/>
    </row>
    <row r="937" spans="1:62" ht="15.75" customHeight="1">
      <c r="A937" s="3"/>
      <c r="B937" s="3"/>
      <c r="C937" s="3"/>
      <c r="D937" s="3"/>
      <c r="E937" s="3"/>
      <c r="F937" s="3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  <c r="BB937" s="20"/>
      <c r="BC937" s="20"/>
      <c r="BD937" s="20"/>
      <c r="BE937" s="20"/>
      <c r="BF937" s="20"/>
      <c r="BG937" s="20"/>
      <c r="BH937" s="20"/>
      <c r="BI937" s="21"/>
      <c r="BJ937" s="21"/>
    </row>
    <row r="938" spans="1:62" ht="15.75" customHeight="1">
      <c r="A938" s="3"/>
      <c r="B938" s="3"/>
      <c r="C938" s="3"/>
      <c r="D938" s="3"/>
      <c r="E938" s="3"/>
      <c r="F938" s="3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  <c r="BB938" s="20"/>
      <c r="BC938" s="20"/>
      <c r="BD938" s="20"/>
      <c r="BE938" s="20"/>
      <c r="BF938" s="20"/>
      <c r="BG938" s="20"/>
      <c r="BH938" s="20"/>
      <c r="BI938" s="21"/>
      <c r="BJ938" s="21"/>
    </row>
    <row r="939" spans="1:62" ht="15.75" customHeight="1">
      <c r="A939" s="3"/>
      <c r="B939" s="3"/>
      <c r="C939" s="3"/>
      <c r="D939" s="3"/>
      <c r="E939" s="3"/>
      <c r="F939" s="3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  <c r="BB939" s="20"/>
      <c r="BC939" s="20"/>
      <c r="BD939" s="20"/>
      <c r="BE939" s="20"/>
      <c r="BF939" s="20"/>
      <c r="BG939" s="20"/>
      <c r="BH939" s="20"/>
      <c r="BI939" s="21"/>
      <c r="BJ939" s="21"/>
    </row>
    <row r="940" spans="1:62" ht="15.75" customHeight="1">
      <c r="A940" s="3"/>
      <c r="B940" s="3"/>
      <c r="C940" s="3"/>
      <c r="D940" s="3"/>
      <c r="E940" s="3"/>
      <c r="F940" s="3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  <c r="BB940" s="20"/>
      <c r="BC940" s="20"/>
      <c r="BD940" s="20"/>
      <c r="BE940" s="20"/>
      <c r="BF940" s="20"/>
      <c r="BG940" s="20"/>
      <c r="BH940" s="20"/>
      <c r="BI940" s="21"/>
      <c r="BJ940" s="21"/>
    </row>
    <row r="941" spans="1:62" ht="15.75" customHeight="1">
      <c r="A941" s="3"/>
      <c r="B941" s="3"/>
      <c r="C941" s="3"/>
      <c r="D941" s="3"/>
      <c r="E941" s="3"/>
      <c r="F941" s="3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  <c r="BB941" s="20"/>
      <c r="BC941" s="20"/>
      <c r="BD941" s="20"/>
      <c r="BE941" s="20"/>
      <c r="BF941" s="20"/>
      <c r="BG941" s="20"/>
      <c r="BH941" s="20"/>
      <c r="BI941" s="21"/>
      <c r="BJ941" s="21"/>
    </row>
    <row r="942" spans="1:62" ht="15.75" customHeight="1">
      <c r="A942" s="3"/>
      <c r="B942" s="3"/>
      <c r="C942" s="3"/>
      <c r="D942" s="3"/>
      <c r="E942" s="3"/>
      <c r="F942" s="3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  <c r="BB942" s="20"/>
      <c r="BC942" s="20"/>
      <c r="BD942" s="20"/>
      <c r="BE942" s="20"/>
      <c r="BF942" s="20"/>
      <c r="BG942" s="20"/>
      <c r="BH942" s="20"/>
      <c r="BI942" s="21"/>
      <c r="BJ942" s="21"/>
    </row>
    <row r="943" spans="1:62" ht="15.75" customHeight="1">
      <c r="A943" s="3"/>
      <c r="B943" s="3"/>
      <c r="C943" s="3"/>
      <c r="D943" s="3"/>
      <c r="E943" s="3"/>
      <c r="F943" s="3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  <c r="BB943" s="20"/>
      <c r="BC943" s="20"/>
      <c r="BD943" s="20"/>
      <c r="BE943" s="20"/>
      <c r="BF943" s="20"/>
      <c r="BG943" s="20"/>
      <c r="BH943" s="20"/>
      <c r="BI943" s="21"/>
      <c r="BJ943" s="21"/>
    </row>
    <row r="944" spans="1:62" ht="15.75" customHeight="1">
      <c r="A944" s="3"/>
      <c r="B944" s="3"/>
      <c r="C944" s="3"/>
      <c r="D944" s="3"/>
      <c r="E944" s="3"/>
      <c r="F944" s="3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  <c r="BB944" s="20"/>
      <c r="BC944" s="20"/>
      <c r="BD944" s="20"/>
      <c r="BE944" s="20"/>
      <c r="BF944" s="20"/>
      <c r="BG944" s="20"/>
      <c r="BH944" s="20"/>
      <c r="BI944" s="21"/>
      <c r="BJ944" s="21"/>
    </row>
    <row r="945" spans="1:62" ht="15.75" customHeight="1">
      <c r="A945" s="3"/>
      <c r="B945" s="3"/>
      <c r="C945" s="3"/>
      <c r="D945" s="3"/>
      <c r="E945" s="3"/>
      <c r="F945" s="3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  <c r="BB945" s="20"/>
      <c r="BC945" s="20"/>
      <c r="BD945" s="20"/>
      <c r="BE945" s="20"/>
      <c r="BF945" s="20"/>
      <c r="BG945" s="20"/>
      <c r="BH945" s="20"/>
      <c r="BI945" s="21"/>
      <c r="BJ945" s="21"/>
    </row>
    <row r="946" spans="1:62" ht="15.75" customHeight="1">
      <c r="A946" s="3"/>
      <c r="B946" s="3"/>
      <c r="C946" s="3"/>
      <c r="D946" s="3"/>
      <c r="E946" s="3"/>
      <c r="F946" s="3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  <c r="BB946" s="20"/>
      <c r="BC946" s="20"/>
      <c r="BD946" s="20"/>
      <c r="BE946" s="20"/>
      <c r="BF946" s="20"/>
      <c r="BG946" s="20"/>
      <c r="BH946" s="20"/>
      <c r="BI946" s="21"/>
      <c r="BJ946" s="21"/>
    </row>
    <row r="947" spans="1:62" ht="15.75" customHeight="1">
      <c r="A947" s="3"/>
      <c r="B947" s="3"/>
      <c r="C947" s="3"/>
      <c r="D947" s="3"/>
      <c r="E947" s="3"/>
      <c r="F947" s="3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  <c r="BB947" s="20"/>
      <c r="BC947" s="20"/>
      <c r="BD947" s="20"/>
      <c r="BE947" s="20"/>
      <c r="BF947" s="20"/>
      <c r="BG947" s="20"/>
      <c r="BH947" s="20"/>
      <c r="BI947" s="21"/>
      <c r="BJ947" s="21"/>
    </row>
    <row r="948" spans="1:62" ht="15.75" customHeight="1">
      <c r="A948" s="3"/>
      <c r="B948" s="3"/>
      <c r="C948" s="3"/>
      <c r="D948" s="3"/>
      <c r="E948" s="3"/>
      <c r="F948" s="3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  <c r="BB948" s="20"/>
      <c r="BC948" s="20"/>
      <c r="BD948" s="20"/>
      <c r="BE948" s="20"/>
      <c r="BF948" s="20"/>
      <c r="BG948" s="20"/>
      <c r="BH948" s="20"/>
      <c r="BI948" s="21"/>
      <c r="BJ948" s="21"/>
    </row>
    <row r="949" spans="1:62" ht="15.75" customHeight="1">
      <c r="A949" s="3"/>
      <c r="B949" s="3"/>
      <c r="C949" s="3"/>
      <c r="D949" s="3"/>
      <c r="E949" s="3"/>
      <c r="F949" s="3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  <c r="BB949" s="20"/>
      <c r="BC949" s="20"/>
      <c r="BD949" s="20"/>
      <c r="BE949" s="20"/>
      <c r="BF949" s="20"/>
      <c r="BG949" s="20"/>
      <c r="BH949" s="20"/>
      <c r="BI949" s="21"/>
      <c r="BJ949" s="21"/>
    </row>
    <row r="950" spans="1:62" ht="15.75" customHeight="1">
      <c r="A950" s="3"/>
      <c r="B950" s="3"/>
      <c r="C950" s="3"/>
      <c r="D950" s="3"/>
      <c r="E950" s="3"/>
      <c r="F950" s="3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  <c r="BB950" s="20"/>
      <c r="BC950" s="20"/>
      <c r="BD950" s="20"/>
      <c r="BE950" s="20"/>
      <c r="BF950" s="20"/>
      <c r="BG950" s="20"/>
      <c r="BH950" s="20"/>
      <c r="BI950" s="21"/>
      <c r="BJ950" s="21"/>
    </row>
    <row r="951" spans="1:62" ht="15.75" customHeight="1">
      <c r="A951" s="3"/>
      <c r="B951" s="3"/>
      <c r="C951" s="3"/>
      <c r="D951" s="3"/>
      <c r="E951" s="3"/>
      <c r="F951" s="3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  <c r="BB951" s="20"/>
      <c r="BC951" s="20"/>
      <c r="BD951" s="20"/>
      <c r="BE951" s="20"/>
      <c r="BF951" s="20"/>
      <c r="BG951" s="20"/>
      <c r="BH951" s="20"/>
      <c r="BI951" s="21"/>
      <c r="BJ951" s="21"/>
    </row>
    <row r="952" spans="1:62" ht="15.75" customHeight="1">
      <c r="A952" s="3"/>
      <c r="B952" s="3"/>
      <c r="C952" s="3"/>
      <c r="D952" s="3"/>
      <c r="E952" s="3"/>
      <c r="F952" s="3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  <c r="BB952" s="20"/>
      <c r="BC952" s="20"/>
      <c r="BD952" s="20"/>
      <c r="BE952" s="20"/>
      <c r="BF952" s="20"/>
      <c r="BG952" s="20"/>
      <c r="BH952" s="20"/>
      <c r="BI952" s="21"/>
      <c r="BJ952" s="21"/>
    </row>
    <row r="953" spans="1:62" ht="15.75" customHeight="1">
      <c r="A953" s="3"/>
      <c r="B953" s="3"/>
      <c r="C953" s="3"/>
      <c r="D953" s="3"/>
      <c r="E953" s="3"/>
      <c r="F953" s="3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  <c r="BB953" s="20"/>
      <c r="BC953" s="20"/>
      <c r="BD953" s="20"/>
      <c r="BE953" s="20"/>
      <c r="BF953" s="20"/>
      <c r="BG953" s="20"/>
      <c r="BH953" s="20"/>
      <c r="BI953" s="21"/>
      <c r="BJ953" s="21"/>
    </row>
    <row r="954" spans="1:62" ht="15.75" customHeight="1">
      <c r="A954" s="3"/>
      <c r="B954" s="3"/>
      <c r="C954" s="3"/>
      <c r="D954" s="3"/>
      <c r="E954" s="3"/>
      <c r="F954" s="3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  <c r="BB954" s="20"/>
      <c r="BC954" s="20"/>
      <c r="BD954" s="20"/>
      <c r="BE954" s="20"/>
      <c r="BF954" s="20"/>
      <c r="BG954" s="20"/>
      <c r="BH954" s="20"/>
      <c r="BI954" s="21"/>
      <c r="BJ954" s="21"/>
    </row>
    <row r="955" spans="1:62" ht="15.75" customHeight="1">
      <c r="A955" s="3"/>
      <c r="B955" s="3"/>
      <c r="C955" s="3"/>
      <c r="D955" s="3"/>
      <c r="E955" s="3"/>
      <c r="F955" s="3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  <c r="BB955" s="20"/>
      <c r="BC955" s="20"/>
      <c r="BD955" s="20"/>
      <c r="BE955" s="20"/>
      <c r="BF955" s="20"/>
      <c r="BG955" s="20"/>
      <c r="BH955" s="20"/>
      <c r="BI955" s="21"/>
      <c r="BJ955" s="21"/>
    </row>
    <row r="956" spans="1:62" ht="15.75" customHeight="1">
      <c r="A956" s="3"/>
      <c r="B956" s="3"/>
      <c r="C956" s="3"/>
      <c r="D956" s="3"/>
      <c r="E956" s="3"/>
      <c r="F956" s="3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  <c r="BB956" s="20"/>
      <c r="BC956" s="20"/>
      <c r="BD956" s="20"/>
      <c r="BE956" s="20"/>
      <c r="BF956" s="20"/>
      <c r="BG956" s="20"/>
      <c r="BH956" s="20"/>
      <c r="BI956" s="21"/>
      <c r="BJ956" s="21"/>
    </row>
    <row r="957" spans="1:62" ht="15.75" customHeight="1">
      <c r="A957" s="3"/>
      <c r="B957" s="3"/>
      <c r="C957" s="3"/>
      <c r="D957" s="3"/>
      <c r="E957" s="3"/>
      <c r="F957" s="3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  <c r="BB957" s="20"/>
      <c r="BC957" s="20"/>
      <c r="BD957" s="20"/>
      <c r="BE957" s="20"/>
      <c r="BF957" s="20"/>
      <c r="BG957" s="20"/>
      <c r="BH957" s="20"/>
      <c r="BI957" s="21"/>
      <c r="BJ957" s="21"/>
    </row>
    <row r="958" spans="1:62" ht="15.75" customHeight="1">
      <c r="A958" s="3"/>
      <c r="B958" s="3"/>
      <c r="C958" s="3"/>
      <c r="D958" s="3"/>
      <c r="E958" s="3"/>
      <c r="F958" s="3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  <c r="BB958" s="20"/>
      <c r="BC958" s="20"/>
      <c r="BD958" s="20"/>
      <c r="BE958" s="20"/>
      <c r="BF958" s="20"/>
      <c r="BG958" s="20"/>
      <c r="BH958" s="20"/>
      <c r="BI958" s="21"/>
      <c r="BJ958" s="21"/>
    </row>
    <row r="959" spans="1:62" ht="15.75" customHeight="1">
      <c r="A959" s="3"/>
      <c r="B959" s="3"/>
      <c r="C959" s="3"/>
      <c r="D959" s="3"/>
      <c r="E959" s="3"/>
      <c r="F959" s="3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  <c r="BB959" s="20"/>
      <c r="BC959" s="20"/>
      <c r="BD959" s="20"/>
      <c r="BE959" s="20"/>
      <c r="BF959" s="20"/>
      <c r="BG959" s="20"/>
      <c r="BH959" s="20"/>
      <c r="BI959" s="21"/>
      <c r="BJ959" s="21"/>
    </row>
    <row r="960" spans="1:62" ht="15.75" customHeight="1">
      <c r="A960" s="3"/>
      <c r="B960" s="3"/>
      <c r="C960" s="3"/>
      <c r="D960" s="3"/>
      <c r="E960" s="3"/>
      <c r="F960" s="3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  <c r="BB960" s="20"/>
      <c r="BC960" s="20"/>
      <c r="BD960" s="20"/>
      <c r="BE960" s="20"/>
      <c r="BF960" s="20"/>
      <c r="BG960" s="20"/>
      <c r="BH960" s="20"/>
      <c r="BI960" s="21"/>
      <c r="BJ960" s="21"/>
    </row>
    <row r="961" spans="1:62" ht="15.75" customHeight="1">
      <c r="A961" s="3"/>
      <c r="B961" s="3"/>
      <c r="C961" s="3"/>
      <c r="D961" s="3"/>
      <c r="E961" s="3"/>
      <c r="F961" s="3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  <c r="BB961" s="20"/>
      <c r="BC961" s="20"/>
      <c r="BD961" s="20"/>
      <c r="BE961" s="20"/>
      <c r="BF961" s="20"/>
      <c r="BG961" s="20"/>
      <c r="BH961" s="20"/>
      <c r="BI961" s="21"/>
      <c r="BJ961" s="21"/>
    </row>
    <row r="962" spans="1:62" ht="15.75" customHeight="1">
      <c r="A962" s="3"/>
      <c r="B962" s="3"/>
      <c r="C962" s="3"/>
      <c r="D962" s="3"/>
      <c r="E962" s="3"/>
      <c r="F962" s="3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  <c r="BB962" s="20"/>
      <c r="BC962" s="20"/>
      <c r="BD962" s="20"/>
      <c r="BE962" s="20"/>
      <c r="BF962" s="20"/>
      <c r="BG962" s="20"/>
      <c r="BH962" s="20"/>
      <c r="BI962" s="21"/>
      <c r="BJ962" s="21"/>
    </row>
    <row r="963" spans="1:62" ht="15.75" customHeight="1">
      <c r="A963" s="3"/>
      <c r="B963" s="3"/>
      <c r="C963" s="3"/>
      <c r="D963" s="3"/>
      <c r="E963" s="3"/>
      <c r="F963" s="3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  <c r="BB963" s="20"/>
      <c r="BC963" s="20"/>
      <c r="BD963" s="20"/>
      <c r="BE963" s="20"/>
      <c r="BF963" s="20"/>
      <c r="BG963" s="20"/>
      <c r="BH963" s="20"/>
      <c r="BI963" s="21"/>
      <c r="BJ963" s="21"/>
    </row>
    <row r="964" spans="1:62" ht="15.75" customHeight="1">
      <c r="A964" s="3"/>
      <c r="B964" s="3"/>
      <c r="C964" s="3"/>
      <c r="D964" s="3"/>
      <c r="E964" s="3"/>
      <c r="F964" s="3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  <c r="BB964" s="20"/>
      <c r="BC964" s="20"/>
      <c r="BD964" s="20"/>
      <c r="BE964" s="20"/>
      <c r="BF964" s="20"/>
      <c r="BG964" s="20"/>
      <c r="BH964" s="20"/>
      <c r="BI964" s="21"/>
      <c r="BJ964" s="21"/>
    </row>
    <row r="965" spans="1:62" ht="15.75" customHeight="1">
      <c r="A965" s="3"/>
      <c r="B965" s="3"/>
      <c r="C965" s="3"/>
      <c r="D965" s="3"/>
      <c r="E965" s="3"/>
      <c r="F965" s="3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  <c r="BB965" s="20"/>
      <c r="BC965" s="20"/>
      <c r="BD965" s="20"/>
      <c r="BE965" s="20"/>
      <c r="BF965" s="20"/>
      <c r="BG965" s="20"/>
      <c r="BH965" s="20"/>
      <c r="BI965" s="21"/>
      <c r="BJ965" s="21"/>
    </row>
    <row r="966" spans="1:62" ht="15.75" customHeight="1">
      <c r="A966" s="3"/>
      <c r="B966" s="3"/>
      <c r="C966" s="3"/>
      <c r="D966" s="3"/>
      <c r="E966" s="3"/>
      <c r="F966" s="3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  <c r="BB966" s="20"/>
      <c r="BC966" s="20"/>
      <c r="BD966" s="20"/>
      <c r="BE966" s="20"/>
      <c r="BF966" s="20"/>
      <c r="BG966" s="20"/>
      <c r="BH966" s="20"/>
      <c r="BI966" s="21"/>
      <c r="BJ966" s="21"/>
    </row>
    <row r="967" spans="1:62" ht="15.75" customHeight="1">
      <c r="A967" s="3"/>
      <c r="B967" s="3"/>
      <c r="C967" s="3"/>
      <c r="D967" s="3"/>
      <c r="E967" s="3"/>
      <c r="F967" s="3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  <c r="BB967" s="20"/>
      <c r="BC967" s="20"/>
      <c r="BD967" s="20"/>
      <c r="BE967" s="20"/>
      <c r="BF967" s="20"/>
      <c r="BG967" s="20"/>
      <c r="BH967" s="20"/>
      <c r="BI967" s="21"/>
      <c r="BJ967" s="21"/>
    </row>
    <row r="968" spans="1:62" ht="15.75" customHeight="1">
      <c r="A968" s="3"/>
      <c r="B968" s="3"/>
      <c r="C968" s="3"/>
      <c r="D968" s="3"/>
      <c r="E968" s="3"/>
      <c r="F968" s="3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  <c r="BB968" s="20"/>
      <c r="BC968" s="20"/>
      <c r="BD968" s="20"/>
      <c r="BE968" s="20"/>
      <c r="BF968" s="20"/>
      <c r="BG968" s="20"/>
      <c r="BH968" s="20"/>
      <c r="BI968" s="21"/>
      <c r="BJ968" s="21"/>
    </row>
    <row r="969" spans="1:62" ht="15.75" customHeight="1">
      <c r="A969" s="3"/>
      <c r="B969" s="3"/>
      <c r="C969" s="3"/>
      <c r="D969" s="3"/>
      <c r="E969" s="3"/>
      <c r="F969" s="3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  <c r="BB969" s="20"/>
      <c r="BC969" s="20"/>
      <c r="BD969" s="20"/>
      <c r="BE969" s="20"/>
      <c r="BF969" s="20"/>
      <c r="BG969" s="20"/>
      <c r="BH969" s="20"/>
      <c r="BI969" s="21"/>
      <c r="BJ969" s="21"/>
    </row>
    <row r="970" spans="1:62" ht="15.75" customHeight="1">
      <c r="A970" s="3"/>
      <c r="B970" s="3"/>
      <c r="C970" s="3"/>
      <c r="D970" s="3"/>
      <c r="E970" s="3"/>
      <c r="F970" s="3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  <c r="BB970" s="20"/>
      <c r="BC970" s="20"/>
      <c r="BD970" s="20"/>
      <c r="BE970" s="20"/>
      <c r="BF970" s="20"/>
      <c r="BG970" s="20"/>
      <c r="BH970" s="20"/>
      <c r="BI970" s="21"/>
      <c r="BJ970" s="21"/>
    </row>
    <row r="971" spans="1:62" ht="15.75" customHeight="1">
      <c r="A971" s="3"/>
      <c r="B971" s="3"/>
      <c r="C971" s="3"/>
      <c r="D971" s="3"/>
      <c r="E971" s="3"/>
      <c r="F971" s="3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  <c r="BB971" s="20"/>
      <c r="BC971" s="20"/>
      <c r="BD971" s="20"/>
      <c r="BE971" s="20"/>
      <c r="BF971" s="20"/>
      <c r="BG971" s="20"/>
      <c r="BH971" s="20"/>
      <c r="BI971" s="21"/>
      <c r="BJ971" s="21"/>
    </row>
    <row r="972" spans="1:62" ht="15.75" customHeight="1">
      <c r="A972" s="3"/>
      <c r="B972" s="3"/>
      <c r="C972" s="3"/>
      <c r="D972" s="3"/>
      <c r="E972" s="3"/>
      <c r="F972" s="3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  <c r="BB972" s="20"/>
      <c r="BC972" s="20"/>
      <c r="BD972" s="20"/>
      <c r="BE972" s="20"/>
      <c r="BF972" s="20"/>
      <c r="BG972" s="20"/>
      <c r="BH972" s="20"/>
      <c r="BI972" s="21"/>
      <c r="BJ972" s="21"/>
    </row>
    <row r="973" spans="1:62" ht="15.75" customHeight="1">
      <c r="A973" s="3"/>
      <c r="B973" s="3"/>
      <c r="C973" s="3"/>
      <c r="D973" s="3"/>
      <c r="E973" s="3"/>
      <c r="F973" s="3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  <c r="BB973" s="20"/>
      <c r="BC973" s="20"/>
      <c r="BD973" s="20"/>
      <c r="BE973" s="20"/>
      <c r="BF973" s="20"/>
      <c r="BG973" s="20"/>
      <c r="BH973" s="20"/>
      <c r="BI973" s="21"/>
      <c r="BJ973" s="21"/>
    </row>
    <row r="974" spans="1:62" ht="15.75" customHeight="1">
      <c r="A974" s="3"/>
      <c r="B974" s="3"/>
      <c r="C974" s="3"/>
      <c r="D974" s="3"/>
      <c r="E974" s="3"/>
      <c r="F974" s="3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  <c r="BB974" s="20"/>
      <c r="BC974" s="20"/>
      <c r="BD974" s="20"/>
      <c r="BE974" s="20"/>
      <c r="BF974" s="20"/>
      <c r="BG974" s="20"/>
      <c r="BH974" s="20"/>
      <c r="BI974" s="21"/>
      <c r="BJ974" s="21"/>
    </row>
    <row r="975" spans="1:62" ht="15.75" customHeight="1">
      <c r="A975" s="3"/>
      <c r="B975" s="3"/>
      <c r="C975" s="3"/>
      <c r="D975" s="3"/>
      <c r="E975" s="3"/>
      <c r="F975" s="3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  <c r="BB975" s="20"/>
      <c r="BC975" s="20"/>
      <c r="BD975" s="20"/>
      <c r="BE975" s="20"/>
      <c r="BF975" s="20"/>
      <c r="BG975" s="20"/>
      <c r="BH975" s="20"/>
      <c r="BI975" s="21"/>
      <c r="BJ975" s="21"/>
    </row>
    <row r="976" spans="1:62" ht="15.75" customHeight="1">
      <c r="A976" s="3"/>
      <c r="B976" s="3"/>
      <c r="C976" s="3"/>
      <c r="D976" s="3"/>
      <c r="E976" s="3"/>
      <c r="F976" s="3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  <c r="BB976" s="20"/>
      <c r="BC976" s="20"/>
      <c r="BD976" s="20"/>
      <c r="BE976" s="20"/>
      <c r="BF976" s="20"/>
      <c r="BG976" s="20"/>
      <c r="BH976" s="20"/>
      <c r="BI976" s="21"/>
      <c r="BJ976" s="21"/>
    </row>
    <row r="977" spans="1:62" ht="15.75" customHeight="1">
      <c r="A977" s="3"/>
      <c r="B977" s="3"/>
      <c r="C977" s="3"/>
      <c r="D977" s="3"/>
      <c r="E977" s="3"/>
      <c r="F977" s="3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  <c r="BB977" s="20"/>
      <c r="BC977" s="20"/>
      <c r="BD977" s="20"/>
      <c r="BE977" s="20"/>
      <c r="BF977" s="20"/>
      <c r="BG977" s="20"/>
      <c r="BH977" s="20"/>
      <c r="BI977" s="21"/>
      <c r="BJ977" s="21"/>
    </row>
    <row r="978" spans="1:62" ht="15.75" customHeight="1">
      <c r="A978" s="3"/>
      <c r="B978" s="3"/>
      <c r="C978" s="3"/>
      <c r="D978" s="3"/>
      <c r="E978" s="3"/>
      <c r="F978" s="3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  <c r="BB978" s="20"/>
      <c r="BC978" s="20"/>
      <c r="BD978" s="20"/>
      <c r="BE978" s="20"/>
      <c r="BF978" s="20"/>
      <c r="BG978" s="20"/>
      <c r="BH978" s="20"/>
      <c r="BI978" s="21"/>
      <c r="BJ978" s="21"/>
    </row>
    <row r="979" spans="1:62" ht="15.75" customHeight="1">
      <c r="A979" s="3"/>
      <c r="B979" s="3"/>
      <c r="C979" s="3"/>
      <c r="D979" s="3"/>
      <c r="E979" s="3"/>
      <c r="F979" s="3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  <c r="BB979" s="20"/>
      <c r="BC979" s="20"/>
      <c r="BD979" s="20"/>
      <c r="BE979" s="20"/>
      <c r="BF979" s="20"/>
      <c r="BG979" s="20"/>
      <c r="BH979" s="20"/>
      <c r="BI979" s="21"/>
      <c r="BJ979" s="21"/>
    </row>
    <row r="980" spans="1:62" ht="15.75" customHeight="1">
      <c r="A980" s="3"/>
      <c r="B980" s="3"/>
      <c r="C980" s="3"/>
      <c r="D980" s="3"/>
      <c r="E980" s="3"/>
      <c r="F980" s="3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  <c r="BB980" s="20"/>
      <c r="BC980" s="20"/>
      <c r="BD980" s="20"/>
      <c r="BE980" s="20"/>
      <c r="BF980" s="20"/>
      <c r="BG980" s="20"/>
      <c r="BH980" s="20"/>
      <c r="BI980" s="21"/>
      <c r="BJ980" s="21"/>
    </row>
    <row r="981" spans="1:62" ht="15.75" customHeight="1">
      <c r="A981" s="3"/>
      <c r="B981" s="3"/>
      <c r="C981" s="3"/>
      <c r="D981" s="3"/>
      <c r="E981" s="3"/>
      <c r="F981" s="3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  <c r="BB981" s="20"/>
      <c r="BC981" s="20"/>
      <c r="BD981" s="20"/>
      <c r="BE981" s="20"/>
      <c r="BF981" s="20"/>
      <c r="BG981" s="20"/>
      <c r="BH981" s="20"/>
      <c r="BI981" s="21"/>
      <c r="BJ981" s="21"/>
    </row>
    <row r="982" spans="1:62" ht="15.75" customHeight="1">
      <c r="A982" s="3"/>
      <c r="B982" s="3"/>
      <c r="C982" s="3"/>
      <c r="D982" s="3"/>
      <c r="E982" s="3"/>
      <c r="F982" s="3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  <c r="BB982" s="20"/>
      <c r="BC982" s="20"/>
      <c r="BD982" s="20"/>
      <c r="BE982" s="20"/>
      <c r="BF982" s="20"/>
      <c r="BG982" s="20"/>
      <c r="BH982" s="20"/>
      <c r="BI982" s="21"/>
      <c r="BJ982" s="21"/>
    </row>
    <row r="983" spans="1:62" ht="15.75" customHeight="1">
      <c r="A983" s="3"/>
      <c r="B983" s="3"/>
      <c r="C983" s="3"/>
      <c r="D983" s="3"/>
      <c r="E983" s="3"/>
      <c r="F983" s="3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  <c r="BB983" s="20"/>
      <c r="BC983" s="20"/>
      <c r="BD983" s="20"/>
      <c r="BE983" s="20"/>
      <c r="BF983" s="20"/>
      <c r="BG983" s="20"/>
      <c r="BH983" s="20"/>
      <c r="BI983" s="21"/>
      <c r="BJ983" s="21"/>
    </row>
    <row r="984" spans="1:62" ht="15.75" customHeight="1">
      <c r="A984" s="3"/>
      <c r="B984" s="3"/>
      <c r="C984" s="3"/>
      <c r="D984" s="3"/>
      <c r="E984" s="3"/>
      <c r="F984" s="3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  <c r="BB984" s="20"/>
      <c r="BC984" s="20"/>
      <c r="BD984" s="20"/>
      <c r="BE984" s="20"/>
      <c r="BF984" s="20"/>
      <c r="BG984" s="20"/>
      <c r="BH984" s="20"/>
      <c r="BI984" s="21"/>
      <c r="BJ984" s="21"/>
    </row>
    <row r="985" spans="1:62" ht="15.75" customHeight="1">
      <c r="A985" s="3"/>
      <c r="B985" s="3"/>
      <c r="C985" s="3"/>
      <c r="D985" s="3"/>
      <c r="E985" s="3"/>
      <c r="F985" s="3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  <c r="BB985" s="20"/>
      <c r="BC985" s="20"/>
      <c r="BD985" s="20"/>
      <c r="BE985" s="20"/>
      <c r="BF985" s="20"/>
      <c r="BG985" s="20"/>
      <c r="BH985" s="20"/>
      <c r="BI985" s="21"/>
      <c r="BJ985" s="21"/>
    </row>
    <row r="986" spans="1:62" ht="15.75" customHeight="1">
      <c r="A986" s="3"/>
      <c r="B986" s="3"/>
      <c r="C986" s="3"/>
      <c r="D986" s="3"/>
      <c r="E986" s="3"/>
      <c r="F986" s="3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  <c r="BB986" s="20"/>
      <c r="BC986" s="20"/>
      <c r="BD986" s="20"/>
      <c r="BE986" s="20"/>
      <c r="BF986" s="20"/>
      <c r="BG986" s="20"/>
      <c r="BH986" s="20"/>
      <c r="BI986" s="21"/>
      <c r="BJ986" s="21"/>
    </row>
    <row r="987" spans="1:62" ht="15.75" customHeight="1">
      <c r="A987" s="3"/>
      <c r="B987" s="3"/>
      <c r="C987" s="3"/>
      <c r="D987" s="3"/>
      <c r="E987" s="3"/>
      <c r="F987" s="3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  <c r="BB987" s="20"/>
      <c r="BC987" s="20"/>
      <c r="BD987" s="20"/>
      <c r="BE987" s="20"/>
      <c r="BF987" s="20"/>
      <c r="BG987" s="20"/>
      <c r="BH987" s="20"/>
      <c r="BI987" s="21"/>
      <c r="BJ987" s="21"/>
    </row>
    <row r="988" spans="1:62" ht="15.75" customHeight="1">
      <c r="A988" s="3"/>
      <c r="B988" s="3"/>
      <c r="C988" s="3"/>
      <c r="D988" s="3"/>
      <c r="E988" s="3"/>
      <c r="F988" s="3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  <c r="BB988" s="20"/>
      <c r="BC988" s="20"/>
      <c r="BD988" s="20"/>
      <c r="BE988" s="20"/>
      <c r="BF988" s="20"/>
      <c r="BG988" s="20"/>
      <c r="BH988" s="20"/>
      <c r="BI988" s="21"/>
      <c r="BJ988" s="21"/>
    </row>
    <row r="989" spans="1:62" ht="15.75" customHeight="1">
      <c r="A989" s="3"/>
      <c r="B989" s="3"/>
      <c r="C989" s="3"/>
      <c r="D989" s="3"/>
      <c r="E989" s="3"/>
      <c r="F989" s="3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  <c r="BB989" s="20"/>
      <c r="BC989" s="20"/>
      <c r="BD989" s="20"/>
      <c r="BE989" s="20"/>
      <c r="BF989" s="20"/>
      <c r="BG989" s="20"/>
      <c r="BH989" s="20"/>
      <c r="BI989" s="21"/>
      <c r="BJ989" s="21"/>
    </row>
    <row r="990" spans="1:62" ht="15.75" customHeight="1">
      <c r="A990" s="3"/>
      <c r="B990" s="3"/>
      <c r="C990" s="3"/>
      <c r="D990" s="3"/>
      <c r="E990" s="3"/>
      <c r="F990" s="3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  <c r="BB990" s="20"/>
      <c r="BC990" s="20"/>
      <c r="BD990" s="20"/>
      <c r="BE990" s="20"/>
      <c r="BF990" s="20"/>
      <c r="BG990" s="20"/>
      <c r="BH990" s="20"/>
      <c r="BI990" s="21"/>
      <c r="BJ990" s="21"/>
    </row>
    <row r="991" spans="1:62" ht="15.75" customHeight="1">
      <c r="A991" s="3"/>
      <c r="B991" s="3"/>
      <c r="C991" s="3"/>
      <c r="D991" s="3"/>
      <c r="E991" s="3"/>
      <c r="F991" s="3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  <c r="BB991" s="20"/>
      <c r="BC991" s="20"/>
      <c r="BD991" s="20"/>
      <c r="BE991" s="20"/>
      <c r="BF991" s="20"/>
      <c r="BG991" s="20"/>
      <c r="BH991" s="20"/>
      <c r="BI991" s="21"/>
      <c r="BJ991" s="21"/>
    </row>
    <row r="992" spans="1:62" ht="15.75" customHeight="1">
      <c r="A992" s="3"/>
      <c r="B992" s="3"/>
      <c r="C992" s="3"/>
      <c r="D992" s="3"/>
      <c r="E992" s="3"/>
      <c r="F992" s="3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  <c r="BB992" s="20"/>
      <c r="BC992" s="20"/>
      <c r="BD992" s="20"/>
      <c r="BE992" s="20"/>
      <c r="BF992" s="20"/>
      <c r="BG992" s="20"/>
      <c r="BH992" s="20"/>
      <c r="BI992" s="21"/>
      <c r="BJ992" s="21"/>
    </row>
    <row r="993" spans="1:62" ht="15.75" customHeight="1">
      <c r="A993" s="3"/>
      <c r="B993" s="3"/>
      <c r="C993" s="3"/>
      <c r="D993" s="3"/>
      <c r="E993" s="3"/>
      <c r="F993" s="3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  <c r="BB993" s="20"/>
      <c r="BC993" s="20"/>
      <c r="BD993" s="20"/>
      <c r="BE993" s="20"/>
      <c r="BF993" s="20"/>
      <c r="BG993" s="20"/>
      <c r="BH993" s="20"/>
      <c r="BI993" s="21"/>
      <c r="BJ993" s="21"/>
    </row>
    <row r="994" spans="1:62" ht="15.75" customHeight="1">
      <c r="A994" s="3"/>
      <c r="B994" s="3"/>
      <c r="C994" s="3"/>
      <c r="D994" s="3"/>
      <c r="E994" s="3"/>
      <c r="F994" s="3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  <c r="BB994" s="20"/>
      <c r="BC994" s="20"/>
      <c r="BD994" s="20"/>
      <c r="BE994" s="20"/>
      <c r="BF994" s="20"/>
      <c r="BG994" s="20"/>
      <c r="BH994" s="20"/>
      <c r="BI994" s="21"/>
      <c r="BJ994" s="21"/>
    </row>
  </sheetData>
  <mergeCells count="30">
    <mergeCell ref="A4:L5"/>
    <mergeCell ref="A6:F6"/>
    <mergeCell ref="D9:E9"/>
    <mergeCell ref="G10:H10"/>
    <mergeCell ref="J10:K10"/>
    <mergeCell ref="AE10:AF10"/>
    <mergeCell ref="AH10:AI10"/>
    <mergeCell ref="AK10:AL10"/>
    <mergeCell ref="AN10:AO10"/>
    <mergeCell ref="M10:N10"/>
    <mergeCell ref="P10:Q10"/>
    <mergeCell ref="S10:T10"/>
    <mergeCell ref="V10:W10"/>
    <mergeCell ref="Y10:Z10"/>
    <mergeCell ref="BI10:BI11"/>
    <mergeCell ref="BJ10:BJ11"/>
    <mergeCell ref="BD10:BE10"/>
    <mergeCell ref="BF10:BH10"/>
    <mergeCell ref="A10:A11"/>
    <mergeCell ref="B10:B11"/>
    <mergeCell ref="C10:C11"/>
    <mergeCell ref="D10:D11"/>
    <mergeCell ref="E10:E11"/>
    <mergeCell ref="F10:F11"/>
    <mergeCell ref="AQ10:AR10"/>
    <mergeCell ref="AT10:AU10"/>
    <mergeCell ref="AW10:AX10"/>
    <mergeCell ref="AY10:AZ10"/>
    <mergeCell ref="BA10:BB10"/>
    <mergeCell ref="AB10:AC10"/>
  </mergeCells>
  <conditionalFormatting sqref="D9:F9">
    <cfRule type="notContainsBlanks" dxfId="4" priority="1">
      <formula>LEN(TRIM(D9))&gt;0</formula>
    </cfRule>
  </conditionalFormatting>
  <conditionalFormatting sqref="A60:A98 A12:A55">
    <cfRule type="notContainsBlanks" dxfId="3" priority="2">
      <formula>LEN(TRIM(A12))&gt;0</formula>
    </cfRule>
  </conditionalFormatting>
  <conditionalFormatting sqref="A56:A59">
    <cfRule type="notContainsBlanks" dxfId="2" priority="3">
      <formula>LEN(TRIM(A56))&gt;0</formula>
    </cfRule>
  </conditionalFormatting>
  <printOptions horizontalCentered="1"/>
  <pageMargins left="0.196527777777778" right="0" top="0.196527777777778" bottom="0.196527777777778" header="0" footer="0"/>
  <pageSetup paperSize="9" scale="50" orientation="landscape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6"/>
  <sheetViews>
    <sheetView tabSelected="1" zoomScale="75" zoomScaleNormal="75" workbookViewId="0">
      <selection activeCell="A11" sqref="A11"/>
    </sheetView>
  </sheetViews>
  <sheetFormatPr defaultColWidth="14.44140625" defaultRowHeight="14.4" outlineLevelCol="1"/>
  <cols>
    <col min="1" max="1" width="4.5546875" customWidth="1"/>
    <col min="2" max="2" width="13.6640625" customWidth="1" outlineLevel="1" collapsed="1"/>
    <col min="3" max="3" width="16.5546875" customWidth="1"/>
    <col min="4" max="4" width="26.88671875" customWidth="1"/>
    <col min="5" max="5" width="8.5546875" customWidth="1"/>
    <col min="6" max="6" width="13.44140625" customWidth="1"/>
    <col min="7" max="9" width="12.109375" customWidth="1"/>
    <col min="10" max="10" width="15.6640625" customWidth="1"/>
    <col min="11" max="11" width="19" customWidth="1"/>
    <col min="12" max="12" width="14.44140625" customWidth="1"/>
    <col min="13" max="13" width="16.5546875" customWidth="1"/>
    <col min="14" max="26" width="8.88671875" customWidth="1"/>
  </cols>
  <sheetData>
    <row r="1" spans="1:26" ht="16.8" customHeight="1">
      <c r="A1" s="1" t="s">
        <v>0</v>
      </c>
      <c r="B1" s="3"/>
      <c r="C1" s="3"/>
      <c r="D1" s="3"/>
      <c r="E1" s="3"/>
      <c r="F1" s="3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8" customHeight="1">
      <c r="A2" s="5" t="s">
        <v>1</v>
      </c>
      <c r="B2" s="3"/>
      <c r="C2" s="3"/>
      <c r="D2" s="3"/>
      <c r="E2" s="3"/>
      <c r="F2" s="3"/>
      <c r="G2" s="2"/>
      <c r="H2" s="2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8" customHeight="1">
      <c r="A3" s="6" t="s">
        <v>2</v>
      </c>
      <c r="B3" s="3"/>
      <c r="C3" s="3"/>
      <c r="D3" s="3"/>
      <c r="E3" s="3"/>
      <c r="F3" s="3"/>
      <c r="G3" s="2"/>
      <c r="H3" s="2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8" customHeight="1">
      <c r="A4" s="60" t="s">
        <v>479</v>
      </c>
      <c r="B4" s="61"/>
      <c r="C4" s="61"/>
      <c r="D4" s="61"/>
      <c r="E4" s="61"/>
      <c r="F4" s="61"/>
      <c r="G4" s="2"/>
      <c r="H4" s="2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8" customHeight="1">
      <c r="A5" s="61"/>
      <c r="B5" s="61"/>
      <c r="C5" s="61"/>
      <c r="D5" s="61"/>
      <c r="E5" s="61"/>
      <c r="F5" s="61"/>
      <c r="G5" s="2"/>
      <c r="H5" s="2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.6" hidden="1" customHeight="1">
      <c r="A6" s="62" t="s">
        <v>3</v>
      </c>
      <c r="B6" s="61"/>
      <c r="C6" s="61"/>
      <c r="D6" s="61"/>
      <c r="E6" s="61"/>
      <c r="F6" s="61"/>
      <c r="G6" s="2"/>
      <c r="H6" s="2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" hidden="1" customHeight="1">
      <c r="A7" s="7"/>
      <c r="B7" s="3"/>
      <c r="C7" s="8" t="s">
        <v>4</v>
      </c>
      <c r="D7" s="9" t="s">
        <v>194</v>
      </c>
      <c r="E7" s="7"/>
      <c r="F7" s="7"/>
      <c r="G7" s="2"/>
      <c r="H7" s="2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8" hidden="1" customHeight="1">
      <c r="A8" s="7"/>
      <c r="B8" s="2"/>
      <c r="C8" s="7"/>
      <c r="D8" s="9" t="s">
        <v>5</v>
      </c>
      <c r="E8" s="7"/>
      <c r="F8" s="7"/>
      <c r="G8" s="2"/>
      <c r="H8" s="2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8" hidden="1" customHeight="1">
      <c r="A9" s="7"/>
      <c r="B9" s="2"/>
      <c r="C9" s="7"/>
      <c r="D9" s="9" t="s">
        <v>6</v>
      </c>
      <c r="E9" s="7"/>
      <c r="F9" s="7"/>
      <c r="G9" s="2"/>
      <c r="H9" s="2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8" hidden="1" customHeight="1">
      <c r="A10" s="7"/>
      <c r="B10" s="2"/>
      <c r="C10" s="7"/>
      <c r="D10" s="9" t="s">
        <v>195</v>
      </c>
      <c r="E10" s="7"/>
      <c r="F10" s="7"/>
      <c r="G10" s="2"/>
      <c r="H10" s="2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8" customHeight="1">
      <c r="A11" s="3"/>
      <c r="B11" s="2"/>
      <c r="C11" s="3"/>
      <c r="D11" s="63"/>
      <c r="E11" s="64"/>
      <c r="F11" s="7"/>
      <c r="G11" s="2"/>
      <c r="H11" s="2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65" t="s">
        <v>7</v>
      </c>
      <c r="B12" s="65" t="s">
        <v>8</v>
      </c>
      <c r="C12" s="65" t="s">
        <v>9</v>
      </c>
      <c r="D12" s="67" t="s">
        <v>10</v>
      </c>
      <c r="E12" s="69"/>
      <c r="F12" s="65" t="s">
        <v>11</v>
      </c>
      <c r="G12" s="65" t="s">
        <v>196</v>
      </c>
      <c r="H12" s="65" t="s">
        <v>197</v>
      </c>
      <c r="I12" s="65" t="s">
        <v>198</v>
      </c>
      <c r="J12" s="65" t="s">
        <v>199</v>
      </c>
      <c r="K12" s="65" t="s">
        <v>200</v>
      </c>
      <c r="L12" s="65" t="s">
        <v>201</v>
      </c>
      <c r="M12" s="65" t="s">
        <v>202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8" customHeight="1">
      <c r="A13" s="66"/>
      <c r="B13" s="66"/>
      <c r="C13" s="66"/>
      <c r="D13" s="68"/>
      <c r="E13" s="70"/>
      <c r="F13" s="66"/>
      <c r="G13" s="66"/>
      <c r="H13" s="66"/>
      <c r="I13" s="66"/>
      <c r="J13" s="66"/>
      <c r="K13" s="66"/>
      <c r="L13" s="66"/>
      <c r="M13" s="6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12" t="str">
        <f t="shared" ref="A14:A57" si="0">IF(E14="","",COUNTA($E$14:E14))</f>
        <v/>
      </c>
      <c r="B14" s="12"/>
      <c r="C14" s="13"/>
      <c r="D14" s="13"/>
      <c r="E14" s="14"/>
      <c r="F14" s="15"/>
      <c r="G14" s="12"/>
      <c r="H14" s="12"/>
      <c r="I14" s="12"/>
      <c r="J14" s="36">
        <f t="shared" ref="J14:J57" si="1">SUM(I14*3+H14*2+G14*1)/6</f>
        <v>0</v>
      </c>
      <c r="K14" s="37">
        <f>'Điểm danh HK1'!BJ12</f>
        <v>0</v>
      </c>
      <c r="L14" s="36">
        <f t="shared" ref="L14:L57" si="2">SUM(J14:K14)/2</f>
        <v>0</v>
      </c>
      <c r="M14" s="1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8" customHeight="1">
      <c r="A15" s="12" t="str">
        <f t="shared" si="0"/>
        <v/>
      </c>
      <c r="B15" s="12"/>
      <c r="C15" s="13"/>
      <c r="D15" s="13"/>
      <c r="E15" s="14"/>
      <c r="F15" s="16"/>
      <c r="G15" s="12"/>
      <c r="H15" s="12"/>
      <c r="I15" s="12"/>
      <c r="J15" s="36">
        <f t="shared" si="1"/>
        <v>0</v>
      </c>
      <c r="K15" s="37">
        <f>'Điểm danh HK1'!BJ13</f>
        <v>0</v>
      </c>
      <c r="L15" s="36">
        <f t="shared" si="2"/>
        <v>0</v>
      </c>
      <c r="M15" s="1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8" customHeight="1">
      <c r="A16" s="2" t="str">
        <f t="shared" si="0"/>
        <v/>
      </c>
      <c r="B16" s="12"/>
      <c r="C16" s="13"/>
      <c r="D16" s="13"/>
      <c r="E16" s="14"/>
      <c r="F16" s="16"/>
      <c r="G16" s="12"/>
      <c r="H16" s="12"/>
      <c r="I16" s="12"/>
      <c r="J16" s="36">
        <f t="shared" si="1"/>
        <v>0</v>
      </c>
      <c r="K16" s="37">
        <f>'Điểm danh HK1'!BJ14</f>
        <v>0</v>
      </c>
      <c r="L16" s="36">
        <f t="shared" si="2"/>
        <v>0</v>
      </c>
      <c r="M16" s="1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8" customHeight="1">
      <c r="A17" s="12" t="str">
        <f t="shared" si="0"/>
        <v/>
      </c>
      <c r="B17" s="12"/>
      <c r="C17" s="13"/>
      <c r="D17" s="13"/>
      <c r="E17" s="14"/>
      <c r="F17" s="16"/>
      <c r="G17" s="12"/>
      <c r="H17" s="12"/>
      <c r="I17" s="12"/>
      <c r="J17" s="36">
        <f t="shared" si="1"/>
        <v>0</v>
      </c>
      <c r="K17" s="37">
        <f>'Điểm danh HK1'!BJ15</f>
        <v>0</v>
      </c>
      <c r="L17" s="36">
        <f t="shared" si="2"/>
        <v>0</v>
      </c>
      <c r="M17" s="1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8" customHeight="1">
      <c r="A18" s="2" t="str">
        <f t="shared" si="0"/>
        <v/>
      </c>
      <c r="B18" s="12"/>
      <c r="C18" s="13"/>
      <c r="D18" s="13"/>
      <c r="E18" s="14"/>
      <c r="F18" s="16"/>
      <c r="G18" s="12"/>
      <c r="H18" s="12"/>
      <c r="I18" s="12"/>
      <c r="J18" s="36">
        <f t="shared" si="1"/>
        <v>0</v>
      </c>
      <c r="K18" s="37">
        <f>'Điểm danh HK1'!BJ16</f>
        <v>0</v>
      </c>
      <c r="L18" s="36">
        <f t="shared" si="2"/>
        <v>0</v>
      </c>
      <c r="M18" s="1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8" customHeight="1">
      <c r="A19" s="12" t="str">
        <f t="shared" si="0"/>
        <v/>
      </c>
      <c r="B19" s="12"/>
      <c r="C19" s="13"/>
      <c r="D19" s="13"/>
      <c r="E19" s="14"/>
      <c r="F19" s="15"/>
      <c r="G19" s="12"/>
      <c r="H19" s="12"/>
      <c r="I19" s="12"/>
      <c r="J19" s="36">
        <f t="shared" si="1"/>
        <v>0</v>
      </c>
      <c r="K19" s="37">
        <f>'Điểm danh HK1'!BJ17</f>
        <v>0</v>
      </c>
      <c r="L19" s="36">
        <f t="shared" si="2"/>
        <v>0</v>
      </c>
      <c r="M19" s="1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2" t="str">
        <f t="shared" si="0"/>
        <v/>
      </c>
      <c r="B20" s="12"/>
      <c r="C20" s="13"/>
      <c r="D20" s="13"/>
      <c r="E20" s="14"/>
      <c r="F20" s="15"/>
      <c r="G20" s="12"/>
      <c r="H20" s="12"/>
      <c r="I20" s="12"/>
      <c r="J20" s="36">
        <f t="shared" si="1"/>
        <v>0</v>
      </c>
      <c r="K20" s="37">
        <f>'Điểm danh HK1'!BJ18</f>
        <v>0</v>
      </c>
      <c r="L20" s="36">
        <f t="shared" si="2"/>
        <v>0</v>
      </c>
      <c r="M20" s="1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12" t="str">
        <f t="shared" si="0"/>
        <v/>
      </c>
      <c r="B21" s="12"/>
      <c r="C21" s="13"/>
      <c r="D21" s="13"/>
      <c r="E21" s="14"/>
      <c r="F21" s="16"/>
      <c r="G21" s="12"/>
      <c r="H21" s="12"/>
      <c r="I21" s="12"/>
      <c r="J21" s="36">
        <f t="shared" si="1"/>
        <v>0</v>
      </c>
      <c r="K21" s="37">
        <f>'Điểm danh HK1'!BJ19</f>
        <v>0</v>
      </c>
      <c r="L21" s="36">
        <f t="shared" si="2"/>
        <v>0</v>
      </c>
      <c r="M21" s="1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2" t="str">
        <f t="shared" si="0"/>
        <v/>
      </c>
      <c r="B22" s="12"/>
      <c r="C22" s="13"/>
      <c r="D22" s="13"/>
      <c r="E22" s="14"/>
      <c r="F22" s="16"/>
      <c r="G22" s="12"/>
      <c r="H22" s="12"/>
      <c r="I22" s="12"/>
      <c r="J22" s="36">
        <f t="shared" si="1"/>
        <v>0</v>
      </c>
      <c r="K22" s="37">
        <f>'Điểm danh HK1'!BJ20</f>
        <v>0</v>
      </c>
      <c r="L22" s="36">
        <f t="shared" si="2"/>
        <v>0</v>
      </c>
      <c r="M22" s="1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12" t="str">
        <f t="shared" si="0"/>
        <v/>
      </c>
      <c r="B23" s="12"/>
      <c r="C23" s="13"/>
      <c r="D23" s="13"/>
      <c r="E23" s="14"/>
      <c r="F23" s="16"/>
      <c r="G23" s="12"/>
      <c r="H23" s="12"/>
      <c r="I23" s="12"/>
      <c r="J23" s="36">
        <f t="shared" si="1"/>
        <v>0</v>
      </c>
      <c r="K23" s="37">
        <f>'Điểm danh HK1'!BJ21</f>
        <v>0</v>
      </c>
      <c r="L23" s="36">
        <f t="shared" si="2"/>
        <v>0</v>
      </c>
      <c r="M23" s="1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2" t="str">
        <f t="shared" si="0"/>
        <v/>
      </c>
      <c r="B24" s="12"/>
      <c r="C24" s="13"/>
      <c r="D24" s="13"/>
      <c r="E24" s="14"/>
      <c r="F24" s="16"/>
      <c r="G24" s="12"/>
      <c r="H24" s="12"/>
      <c r="I24" s="12"/>
      <c r="J24" s="36">
        <f t="shared" si="1"/>
        <v>0</v>
      </c>
      <c r="K24" s="37">
        <f>'Điểm danh HK1'!BJ22</f>
        <v>0</v>
      </c>
      <c r="L24" s="36">
        <f t="shared" si="2"/>
        <v>0</v>
      </c>
      <c r="M24" s="1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12" t="str">
        <f t="shared" si="0"/>
        <v/>
      </c>
      <c r="B25" s="12"/>
      <c r="C25" s="13"/>
      <c r="D25" s="13"/>
      <c r="E25" s="14"/>
      <c r="F25" s="16"/>
      <c r="G25" s="12"/>
      <c r="H25" s="12"/>
      <c r="I25" s="12"/>
      <c r="J25" s="36">
        <f t="shared" si="1"/>
        <v>0</v>
      </c>
      <c r="K25" s="37">
        <f>'Điểm danh HK1'!BJ23</f>
        <v>0</v>
      </c>
      <c r="L25" s="36">
        <f t="shared" si="2"/>
        <v>0</v>
      </c>
      <c r="M25" s="13"/>
      <c r="N25" s="3"/>
      <c r="O25" s="3"/>
      <c r="P25" s="3"/>
      <c r="Q25" s="3" t="s">
        <v>203</v>
      </c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2" t="str">
        <f t="shared" si="0"/>
        <v/>
      </c>
      <c r="B26" s="12"/>
      <c r="C26" s="13"/>
      <c r="D26" s="13"/>
      <c r="E26" s="14"/>
      <c r="F26" s="15"/>
      <c r="G26" s="12"/>
      <c r="H26" s="12"/>
      <c r="I26" s="12"/>
      <c r="J26" s="36">
        <f t="shared" si="1"/>
        <v>0</v>
      </c>
      <c r="K26" s="37">
        <f>'Điểm danh HK1'!BJ24</f>
        <v>0</v>
      </c>
      <c r="L26" s="36">
        <f t="shared" si="2"/>
        <v>0</v>
      </c>
      <c r="M26" s="1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12" t="str">
        <f t="shared" si="0"/>
        <v/>
      </c>
      <c r="B27" s="12"/>
      <c r="C27" s="13"/>
      <c r="D27" s="13"/>
      <c r="E27" s="14"/>
      <c r="F27" s="15"/>
      <c r="G27" s="12"/>
      <c r="H27" s="12"/>
      <c r="I27" s="12"/>
      <c r="J27" s="36">
        <f t="shared" si="1"/>
        <v>0</v>
      </c>
      <c r="K27" s="37">
        <f>'Điểm danh HK1'!BJ25</f>
        <v>0</v>
      </c>
      <c r="L27" s="36">
        <f t="shared" si="2"/>
        <v>0</v>
      </c>
      <c r="M27" s="1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2" t="str">
        <f t="shared" si="0"/>
        <v/>
      </c>
      <c r="B28" s="12"/>
      <c r="C28" s="13"/>
      <c r="D28" s="13"/>
      <c r="E28" s="14"/>
      <c r="F28" s="16"/>
      <c r="G28" s="12"/>
      <c r="H28" s="12"/>
      <c r="I28" s="12"/>
      <c r="J28" s="36">
        <f t="shared" si="1"/>
        <v>0</v>
      </c>
      <c r="K28" s="37">
        <f>'Điểm danh HK1'!BJ26</f>
        <v>0</v>
      </c>
      <c r="L28" s="36">
        <f t="shared" si="2"/>
        <v>0</v>
      </c>
      <c r="M28" s="1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12" t="str">
        <f t="shared" si="0"/>
        <v/>
      </c>
      <c r="B29" s="12"/>
      <c r="C29" s="13"/>
      <c r="D29" s="13"/>
      <c r="E29" s="14"/>
      <c r="F29" s="16"/>
      <c r="G29" s="12"/>
      <c r="H29" s="12"/>
      <c r="I29" s="12"/>
      <c r="J29" s="36">
        <f t="shared" si="1"/>
        <v>0</v>
      </c>
      <c r="K29" s="37">
        <f>'Điểm danh HK1'!BJ27</f>
        <v>0</v>
      </c>
      <c r="L29" s="36">
        <f t="shared" si="2"/>
        <v>0</v>
      </c>
      <c r="M29" s="1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2" t="str">
        <f t="shared" si="0"/>
        <v/>
      </c>
      <c r="B30" s="12"/>
      <c r="C30" s="13"/>
      <c r="D30" s="13"/>
      <c r="E30" s="14"/>
      <c r="F30" s="16"/>
      <c r="G30" s="12"/>
      <c r="H30" s="12"/>
      <c r="I30" s="12"/>
      <c r="J30" s="36">
        <f t="shared" si="1"/>
        <v>0</v>
      </c>
      <c r="K30" s="37">
        <f>'Điểm danh HK1'!BJ28</f>
        <v>0</v>
      </c>
      <c r="L30" s="36">
        <f t="shared" si="2"/>
        <v>0</v>
      </c>
      <c r="M30" s="1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12" t="str">
        <f t="shared" si="0"/>
        <v/>
      </c>
      <c r="B31" s="12"/>
      <c r="C31" s="13"/>
      <c r="D31" s="13"/>
      <c r="E31" s="14"/>
      <c r="F31" s="16"/>
      <c r="G31" s="12"/>
      <c r="H31" s="12"/>
      <c r="I31" s="12"/>
      <c r="J31" s="36">
        <f t="shared" si="1"/>
        <v>0</v>
      </c>
      <c r="K31" s="37">
        <f>'Điểm danh HK1'!BJ29</f>
        <v>0</v>
      </c>
      <c r="L31" s="36">
        <f t="shared" si="2"/>
        <v>0</v>
      </c>
      <c r="M31" s="1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2" t="str">
        <f t="shared" si="0"/>
        <v/>
      </c>
      <c r="B32" s="12"/>
      <c r="C32" s="13"/>
      <c r="D32" s="13"/>
      <c r="E32" s="14"/>
      <c r="F32" s="15"/>
      <c r="G32" s="12"/>
      <c r="H32" s="12"/>
      <c r="I32" s="12"/>
      <c r="J32" s="36">
        <f t="shared" si="1"/>
        <v>0</v>
      </c>
      <c r="K32" s="37">
        <f>'Điểm danh HK1'!BJ30</f>
        <v>0</v>
      </c>
      <c r="L32" s="36">
        <f t="shared" si="2"/>
        <v>0</v>
      </c>
      <c r="M32" s="1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2" t="str">
        <f t="shared" si="0"/>
        <v/>
      </c>
      <c r="B33" s="12"/>
      <c r="C33" s="13"/>
      <c r="D33" s="13"/>
      <c r="E33" s="14"/>
      <c r="F33" s="16"/>
      <c r="G33" s="12"/>
      <c r="H33" s="12"/>
      <c r="I33" s="12"/>
      <c r="J33" s="36">
        <f t="shared" si="1"/>
        <v>0</v>
      </c>
      <c r="K33" s="37">
        <f>'Điểm danh HK1'!BJ31</f>
        <v>0</v>
      </c>
      <c r="L33" s="36">
        <f t="shared" si="2"/>
        <v>0</v>
      </c>
      <c r="M33" s="1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12" t="str">
        <f t="shared" si="0"/>
        <v/>
      </c>
      <c r="B34" s="12"/>
      <c r="C34" s="13"/>
      <c r="D34" s="13"/>
      <c r="E34" s="14"/>
      <c r="F34" s="16"/>
      <c r="G34" s="12"/>
      <c r="H34" s="12"/>
      <c r="I34" s="12"/>
      <c r="J34" s="36">
        <f t="shared" si="1"/>
        <v>0</v>
      </c>
      <c r="K34" s="37">
        <f>'Điểm danh HK1'!BJ32</f>
        <v>0</v>
      </c>
      <c r="L34" s="36">
        <f t="shared" si="2"/>
        <v>0</v>
      </c>
      <c r="M34" s="1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2" t="str">
        <f t="shared" si="0"/>
        <v/>
      </c>
      <c r="B35" s="12"/>
      <c r="C35" s="13"/>
      <c r="D35" s="13"/>
      <c r="E35" s="14"/>
      <c r="F35" s="15"/>
      <c r="G35" s="12"/>
      <c r="H35" s="12"/>
      <c r="I35" s="12"/>
      <c r="J35" s="36">
        <f t="shared" si="1"/>
        <v>0</v>
      </c>
      <c r="K35" s="37">
        <f>'Điểm danh HK1'!BJ33</f>
        <v>0</v>
      </c>
      <c r="L35" s="36">
        <f t="shared" si="2"/>
        <v>0</v>
      </c>
      <c r="M35" s="1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12" t="str">
        <f t="shared" si="0"/>
        <v/>
      </c>
      <c r="B36" s="12"/>
      <c r="C36" s="13"/>
      <c r="D36" s="13"/>
      <c r="E36" s="14"/>
      <c r="F36" s="15"/>
      <c r="G36" s="12"/>
      <c r="H36" s="12"/>
      <c r="I36" s="12"/>
      <c r="J36" s="36">
        <f t="shared" si="1"/>
        <v>0</v>
      </c>
      <c r="K36" s="37">
        <f>'Điểm danh HK1'!BJ34</f>
        <v>0</v>
      </c>
      <c r="L36" s="36">
        <f t="shared" si="2"/>
        <v>0</v>
      </c>
      <c r="M36" s="1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12" t="str">
        <f t="shared" si="0"/>
        <v/>
      </c>
      <c r="B37" s="12"/>
      <c r="C37" s="13"/>
      <c r="D37" s="13"/>
      <c r="E37" s="14"/>
      <c r="F37" s="15"/>
      <c r="G37" s="12"/>
      <c r="H37" s="12"/>
      <c r="I37" s="12"/>
      <c r="J37" s="36">
        <f t="shared" si="1"/>
        <v>0</v>
      </c>
      <c r="K37" s="37">
        <f>'Điểm danh HK1'!BJ35</f>
        <v>0</v>
      </c>
      <c r="L37" s="36">
        <f t="shared" si="2"/>
        <v>0</v>
      </c>
      <c r="M37" s="1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2" t="str">
        <f t="shared" si="0"/>
        <v/>
      </c>
      <c r="B38" s="12"/>
      <c r="C38" s="13"/>
      <c r="D38" s="13"/>
      <c r="E38" s="14"/>
      <c r="F38" s="16"/>
      <c r="G38" s="12"/>
      <c r="H38" s="12"/>
      <c r="I38" s="12"/>
      <c r="J38" s="36">
        <f t="shared" si="1"/>
        <v>0</v>
      </c>
      <c r="K38" s="37">
        <f>'Điểm danh HK1'!BJ36</f>
        <v>0</v>
      </c>
      <c r="L38" s="36">
        <f t="shared" si="2"/>
        <v>0</v>
      </c>
      <c r="M38" s="1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12" t="str">
        <f t="shared" si="0"/>
        <v/>
      </c>
      <c r="B39" s="12"/>
      <c r="C39" s="13"/>
      <c r="D39" s="13"/>
      <c r="E39" s="14"/>
      <c r="F39" s="15"/>
      <c r="G39" s="12"/>
      <c r="H39" s="12"/>
      <c r="I39" s="12"/>
      <c r="J39" s="36">
        <f t="shared" si="1"/>
        <v>0</v>
      </c>
      <c r="K39" s="37">
        <f>'Điểm danh HK1'!BJ37</f>
        <v>0</v>
      </c>
      <c r="L39" s="36">
        <f t="shared" si="2"/>
        <v>0</v>
      </c>
      <c r="M39" s="1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2" t="str">
        <f t="shared" si="0"/>
        <v/>
      </c>
      <c r="B40" s="12"/>
      <c r="C40" s="13"/>
      <c r="D40" s="13"/>
      <c r="E40" s="14"/>
      <c r="F40" s="16"/>
      <c r="G40" s="12"/>
      <c r="H40" s="12"/>
      <c r="I40" s="12"/>
      <c r="J40" s="36">
        <f t="shared" si="1"/>
        <v>0</v>
      </c>
      <c r="K40" s="37">
        <f>'Điểm danh HK1'!BJ38</f>
        <v>0</v>
      </c>
      <c r="L40" s="36">
        <f t="shared" si="2"/>
        <v>0</v>
      </c>
      <c r="M40" s="1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12" t="str">
        <f t="shared" si="0"/>
        <v/>
      </c>
      <c r="B41" s="12"/>
      <c r="C41" s="13"/>
      <c r="D41" s="13"/>
      <c r="E41" s="14"/>
      <c r="F41" s="16"/>
      <c r="G41" s="12"/>
      <c r="H41" s="12"/>
      <c r="I41" s="12"/>
      <c r="J41" s="36">
        <f t="shared" si="1"/>
        <v>0</v>
      </c>
      <c r="K41" s="37">
        <f>'Điểm danh HK1'!BJ39</f>
        <v>0</v>
      </c>
      <c r="L41" s="36">
        <f t="shared" si="2"/>
        <v>0</v>
      </c>
      <c r="M41" s="1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2" t="str">
        <f t="shared" si="0"/>
        <v/>
      </c>
      <c r="B42" s="12"/>
      <c r="C42" s="13"/>
      <c r="D42" s="13"/>
      <c r="E42" s="14"/>
      <c r="F42" s="16"/>
      <c r="G42" s="12"/>
      <c r="H42" s="12"/>
      <c r="I42" s="12"/>
      <c r="J42" s="36">
        <f t="shared" si="1"/>
        <v>0</v>
      </c>
      <c r="K42" s="37">
        <f>'Điểm danh HK1'!BJ40</f>
        <v>0</v>
      </c>
      <c r="L42" s="36">
        <f t="shared" si="2"/>
        <v>0</v>
      </c>
      <c r="M42" s="1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12" t="str">
        <f t="shared" si="0"/>
        <v/>
      </c>
      <c r="B43" s="12"/>
      <c r="C43" s="13"/>
      <c r="D43" s="13"/>
      <c r="E43" s="14"/>
      <c r="F43" s="16"/>
      <c r="G43" s="12"/>
      <c r="H43" s="12"/>
      <c r="I43" s="12"/>
      <c r="J43" s="36">
        <f t="shared" si="1"/>
        <v>0</v>
      </c>
      <c r="K43" s="37">
        <f>'Điểm danh HK1'!BJ41</f>
        <v>0</v>
      </c>
      <c r="L43" s="36">
        <f t="shared" si="2"/>
        <v>0</v>
      </c>
      <c r="M43" s="1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2" t="str">
        <f t="shared" si="0"/>
        <v/>
      </c>
      <c r="B44" s="12"/>
      <c r="C44" s="13"/>
      <c r="D44" s="13"/>
      <c r="E44" s="14"/>
      <c r="F44" s="16"/>
      <c r="G44" s="12"/>
      <c r="H44" s="12"/>
      <c r="I44" s="12"/>
      <c r="J44" s="36">
        <f t="shared" si="1"/>
        <v>0</v>
      </c>
      <c r="K44" s="37">
        <f>'Điểm danh HK1'!BJ42</f>
        <v>0</v>
      </c>
      <c r="L44" s="36">
        <f t="shared" si="2"/>
        <v>0</v>
      </c>
      <c r="M44" s="1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12" t="str">
        <f t="shared" si="0"/>
        <v/>
      </c>
      <c r="B45" s="12"/>
      <c r="C45" s="13"/>
      <c r="D45" s="13"/>
      <c r="E45" s="14"/>
      <c r="F45" s="16"/>
      <c r="G45" s="12"/>
      <c r="H45" s="12"/>
      <c r="I45" s="12"/>
      <c r="J45" s="36">
        <f t="shared" si="1"/>
        <v>0</v>
      </c>
      <c r="K45" s="37">
        <f>'Điểm danh HK1'!BJ43</f>
        <v>0</v>
      </c>
      <c r="L45" s="36">
        <f t="shared" si="2"/>
        <v>0</v>
      </c>
      <c r="M45" s="1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2" t="str">
        <f t="shared" si="0"/>
        <v/>
      </c>
      <c r="B46" s="12"/>
      <c r="C46" s="13"/>
      <c r="D46" s="13"/>
      <c r="E46" s="14"/>
      <c r="F46" s="15"/>
      <c r="G46" s="12"/>
      <c r="H46" s="12"/>
      <c r="I46" s="12"/>
      <c r="J46" s="36">
        <f t="shared" si="1"/>
        <v>0</v>
      </c>
      <c r="K46" s="37">
        <f>'Điểm danh HK1'!BJ44</f>
        <v>0</v>
      </c>
      <c r="L46" s="36">
        <f t="shared" si="2"/>
        <v>0</v>
      </c>
      <c r="M46" s="1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2" t="str">
        <f t="shared" si="0"/>
        <v/>
      </c>
      <c r="B47" s="12"/>
      <c r="C47" s="13"/>
      <c r="D47" s="13"/>
      <c r="E47" s="14"/>
      <c r="F47" s="16"/>
      <c r="G47" s="12"/>
      <c r="H47" s="12"/>
      <c r="I47" s="12"/>
      <c r="J47" s="36">
        <f t="shared" si="1"/>
        <v>0</v>
      </c>
      <c r="K47" s="37">
        <f>'Điểm danh HK1'!BJ45</f>
        <v>0</v>
      </c>
      <c r="L47" s="36">
        <f t="shared" si="2"/>
        <v>0</v>
      </c>
      <c r="M47" s="1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2" t="str">
        <f t="shared" si="0"/>
        <v/>
      </c>
      <c r="B48" s="12"/>
      <c r="C48" s="13"/>
      <c r="D48" s="13"/>
      <c r="E48" s="14"/>
      <c r="F48" s="16"/>
      <c r="G48" s="12"/>
      <c r="H48" s="12"/>
      <c r="I48" s="12"/>
      <c r="J48" s="36">
        <f t="shared" si="1"/>
        <v>0</v>
      </c>
      <c r="K48" s="37">
        <f>'Điểm danh HK1'!BJ46</f>
        <v>0</v>
      </c>
      <c r="L48" s="36">
        <f t="shared" si="2"/>
        <v>0</v>
      </c>
      <c r="M48" s="1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2" t="str">
        <f t="shared" si="0"/>
        <v/>
      </c>
      <c r="B49" s="12"/>
      <c r="C49" s="13"/>
      <c r="D49" s="13"/>
      <c r="E49" s="14"/>
      <c r="F49" s="16"/>
      <c r="G49" s="12"/>
      <c r="H49" s="12"/>
      <c r="I49" s="12"/>
      <c r="J49" s="36">
        <f t="shared" si="1"/>
        <v>0</v>
      </c>
      <c r="K49" s="37">
        <f>'Điểm danh HK1'!BJ47</f>
        <v>0</v>
      </c>
      <c r="L49" s="36">
        <f t="shared" si="2"/>
        <v>0</v>
      </c>
      <c r="M49" s="1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12" t="str">
        <f t="shared" si="0"/>
        <v/>
      </c>
      <c r="B50" s="12"/>
      <c r="C50" s="13"/>
      <c r="D50" s="13"/>
      <c r="E50" s="14"/>
      <c r="F50" s="16"/>
      <c r="G50" s="12"/>
      <c r="H50" s="12"/>
      <c r="I50" s="12"/>
      <c r="J50" s="36">
        <f t="shared" si="1"/>
        <v>0</v>
      </c>
      <c r="K50" s="37">
        <f>'Điểm danh HK1'!BJ48</f>
        <v>0</v>
      </c>
      <c r="L50" s="36">
        <f t="shared" si="2"/>
        <v>0</v>
      </c>
      <c r="M50" s="1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12" t="str">
        <f t="shared" si="0"/>
        <v/>
      </c>
      <c r="B51" s="12"/>
      <c r="C51" s="13"/>
      <c r="D51" s="13"/>
      <c r="E51" s="14"/>
      <c r="F51" s="16"/>
      <c r="G51" s="12"/>
      <c r="H51" s="12"/>
      <c r="I51" s="12"/>
      <c r="J51" s="36">
        <f t="shared" si="1"/>
        <v>0</v>
      </c>
      <c r="K51" s="37">
        <f>'Điểm danh HK1'!BJ49</f>
        <v>0</v>
      </c>
      <c r="L51" s="36">
        <f t="shared" si="2"/>
        <v>0</v>
      </c>
      <c r="M51" s="1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2" t="str">
        <f t="shared" si="0"/>
        <v/>
      </c>
      <c r="B52" s="12"/>
      <c r="C52" s="13"/>
      <c r="D52" s="13"/>
      <c r="E52" s="14"/>
      <c r="F52" s="16"/>
      <c r="G52" s="12"/>
      <c r="H52" s="12"/>
      <c r="I52" s="12"/>
      <c r="J52" s="36">
        <f t="shared" si="1"/>
        <v>0</v>
      </c>
      <c r="K52" s="37">
        <f>'Điểm danh HK1'!BJ50</f>
        <v>0</v>
      </c>
      <c r="L52" s="36">
        <f t="shared" si="2"/>
        <v>0</v>
      </c>
      <c r="M52" s="1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12" t="str">
        <f t="shared" si="0"/>
        <v/>
      </c>
      <c r="B53" s="12"/>
      <c r="C53" s="13"/>
      <c r="D53" s="13"/>
      <c r="E53" s="14"/>
      <c r="F53" s="16"/>
      <c r="G53" s="12"/>
      <c r="H53" s="12"/>
      <c r="I53" s="12"/>
      <c r="J53" s="36">
        <f t="shared" si="1"/>
        <v>0</v>
      </c>
      <c r="K53" s="37">
        <f>'Điểm danh HK1'!BJ51</f>
        <v>0</v>
      </c>
      <c r="L53" s="36">
        <f t="shared" si="2"/>
        <v>0</v>
      </c>
      <c r="M53" s="1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2" t="str">
        <f t="shared" si="0"/>
        <v/>
      </c>
      <c r="B54" s="12"/>
      <c r="C54" s="13"/>
      <c r="D54" s="13"/>
      <c r="E54" s="14"/>
      <c r="F54" s="16"/>
      <c r="G54" s="12"/>
      <c r="H54" s="12"/>
      <c r="I54" s="12"/>
      <c r="J54" s="36">
        <f t="shared" si="1"/>
        <v>0</v>
      </c>
      <c r="K54" s="37">
        <f>'Điểm danh HK1'!BJ52</f>
        <v>0</v>
      </c>
      <c r="L54" s="36">
        <f t="shared" si="2"/>
        <v>0</v>
      </c>
      <c r="M54" s="1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12" t="str">
        <f t="shared" si="0"/>
        <v/>
      </c>
      <c r="B55" s="12"/>
      <c r="C55" s="13"/>
      <c r="D55" s="13"/>
      <c r="E55" s="14"/>
      <c r="F55" s="16"/>
      <c r="G55" s="12"/>
      <c r="H55" s="12"/>
      <c r="I55" s="12"/>
      <c r="J55" s="36">
        <f t="shared" si="1"/>
        <v>0</v>
      </c>
      <c r="K55" s="37">
        <f>'Điểm danh HK1'!BJ53</f>
        <v>0</v>
      </c>
      <c r="L55" s="36">
        <f t="shared" si="2"/>
        <v>0</v>
      </c>
      <c r="M55" s="1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2" t="str">
        <f t="shared" si="0"/>
        <v/>
      </c>
      <c r="B56" s="17"/>
      <c r="C56" s="18"/>
      <c r="D56" s="18"/>
      <c r="E56" s="18"/>
      <c r="F56" s="19"/>
      <c r="G56" s="12"/>
      <c r="H56" s="12"/>
      <c r="I56" s="12"/>
      <c r="J56" s="36">
        <f t="shared" si="1"/>
        <v>0</v>
      </c>
      <c r="K56" s="37">
        <f>'Điểm danh HK1'!BJ54</f>
        <v>0</v>
      </c>
      <c r="L56" s="36">
        <f t="shared" si="2"/>
        <v>0</v>
      </c>
      <c r="M56" s="1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2" t="str">
        <f t="shared" si="0"/>
        <v/>
      </c>
      <c r="B57" s="13"/>
      <c r="C57" s="13"/>
      <c r="D57" s="13"/>
      <c r="E57" s="13"/>
      <c r="F57" s="13"/>
      <c r="G57" s="12"/>
      <c r="H57" s="12"/>
      <c r="I57" s="12"/>
      <c r="J57" s="36">
        <f t="shared" si="1"/>
        <v>0</v>
      </c>
      <c r="K57" s="37">
        <f>'Điểm danh HK1'!BJ55</f>
        <v>0</v>
      </c>
      <c r="L57" s="36">
        <f t="shared" si="2"/>
        <v>0</v>
      </c>
      <c r="M57" s="1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2" t="str">
        <f t="shared" ref="A58:A100" si="3">IF(E58="","",COUNTA($E$14:E58))</f>
        <v/>
      </c>
      <c r="B58" s="3"/>
      <c r="C58" s="3"/>
      <c r="D58" s="3"/>
      <c r="E58" s="3"/>
      <c r="F58" s="3"/>
      <c r="G58" s="2"/>
      <c r="H58" s="2"/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12" t="str">
        <f t="shared" si="3"/>
        <v/>
      </c>
      <c r="B59" s="3"/>
      <c r="C59" s="3"/>
      <c r="D59" s="3"/>
      <c r="E59" s="3"/>
      <c r="F59" s="3"/>
      <c r="G59" s="2"/>
      <c r="H59" s="2"/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2" t="str">
        <f t="shared" si="3"/>
        <v/>
      </c>
      <c r="B60" s="3"/>
      <c r="C60" s="3"/>
      <c r="D60" s="3"/>
      <c r="E60" s="3"/>
      <c r="F60" s="3"/>
      <c r="G60" s="2"/>
      <c r="H60" s="2"/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12" t="str">
        <f t="shared" si="3"/>
        <v/>
      </c>
      <c r="B61" s="3"/>
      <c r="C61" s="3"/>
      <c r="D61" s="3"/>
      <c r="E61" s="3"/>
      <c r="F61" s="3"/>
      <c r="G61" s="2"/>
      <c r="H61" s="2"/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2" t="str">
        <f t="shared" si="3"/>
        <v/>
      </c>
      <c r="B62" s="3"/>
      <c r="C62" s="3"/>
      <c r="D62" s="3"/>
      <c r="E62" s="3"/>
      <c r="F62" s="3"/>
      <c r="G62" s="2"/>
      <c r="H62" s="2"/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12" t="str">
        <f t="shared" si="3"/>
        <v/>
      </c>
      <c r="B63" s="3"/>
      <c r="C63" s="3"/>
      <c r="D63" s="3"/>
      <c r="E63" s="3"/>
      <c r="F63" s="3"/>
      <c r="G63" s="2"/>
      <c r="H63" s="2"/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2" t="str">
        <f t="shared" si="3"/>
        <v/>
      </c>
      <c r="B64" s="3"/>
      <c r="C64" s="3"/>
      <c r="D64" s="3"/>
      <c r="E64" s="3"/>
      <c r="F64" s="3"/>
      <c r="G64" s="2"/>
      <c r="H64" s="2"/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12" t="str">
        <f t="shared" si="3"/>
        <v/>
      </c>
      <c r="B65" s="3"/>
      <c r="C65" s="3"/>
      <c r="D65" s="3"/>
      <c r="E65" s="3"/>
      <c r="F65" s="3"/>
      <c r="G65" s="2"/>
      <c r="H65" s="2"/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2" t="str">
        <f t="shared" si="3"/>
        <v/>
      </c>
      <c r="B66" s="3"/>
      <c r="C66" s="3"/>
      <c r="D66" s="3"/>
      <c r="E66" s="3"/>
      <c r="F66" s="3"/>
      <c r="G66" s="2"/>
      <c r="H66" s="2"/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12" t="str">
        <f t="shared" si="3"/>
        <v/>
      </c>
      <c r="B67" s="3"/>
      <c r="C67" s="3"/>
      <c r="D67" s="3"/>
      <c r="E67" s="3"/>
      <c r="F67" s="3"/>
      <c r="G67" s="2"/>
      <c r="H67" s="2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2" t="str">
        <f t="shared" si="3"/>
        <v/>
      </c>
      <c r="B68" s="3"/>
      <c r="C68" s="3"/>
      <c r="D68" s="3"/>
      <c r="E68" s="3"/>
      <c r="F68" s="3"/>
      <c r="G68" s="2"/>
      <c r="H68" s="2"/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12" t="str">
        <f t="shared" si="3"/>
        <v/>
      </c>
      <c r="B69" s="3"/>
      <c r="C69" s="3"/>
      <c r="D69" s="3"/>
      <c r="E69" s="3"/>
      <c r="F69" s="3"/>
      <c r="G69" s="2"/>
      <c r="H69" s="2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2" t="str">
        <f t="shared" si="3"/>
        <v/>
      </c>
      <c r="B70" s="3"/>
      <c r="C70" s="3"/>
      <c r="D70" s="3"/>
      <c r="E70" s="3"/>
      <c r="F70" s="3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12" t="str">
        <f t="shared" si="3"/>
        <v/>
      </c>
      <c r="B71" s="3"/>
      <c r="C71" s="3"/>
      <c r="D71" s="3"/>
      <c r="E71" s="3"/>
      <c r="F71" s="3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2" t="str">
        <f t="shared" si="3"/>
        <v/>
      </c>
      <c r="B72" s="3"/>
      <c r="C72" s="3"/>
      <c r="D72" s="3"/>
      <c r="E72" s="3"/>
      <c r="F72" s="3"/>
      <c r="G72" s="2"/>
      <c r="H72" s="2"/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12" t="str">
        <f t="shared" si="3"/>
        <v/>
      </c>
      <c r="B73" s="3"/>
      <c r="C73" s="3"/>
      <c r="D73" s="3"/>
      <c r="E73" s="3"/>
      <c r="F73" s="3"/>
      <c r="G73" s="2"/>
      <c r="H73" s="2"/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2" t="str">
        <f t="shared" si="3"/>
        <v/>
      </c>
      <c r="B74" s="3"/>
      <c r="C74" s="3"/>
      <c r="D74" s="3"/>
      <c r="E74" s="3"/>
      <c r="F74" s="3"/>
      <c r="G74" s="2"/>
      <c r="H74" s="2"/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12" t="str">
        <f t="shared" si="3"/>
        <v/>
      </c>
      <c r="B75" s="3"/>
      <c r="C75" s="3"/>
      <c r="D75" s="3"/>
      <c r="E75" s="3"/>
      <c r="F75" s="3"/>
      <c r="G75" s="2"/>
      <c r="H75" s="2"/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2" t="str">
        <f t="shared" si="3"/>
        <v/>
      </c>
      <c r="B76" s="3"/>
      <c r="C76" s="3"/>
      <c r="D76" s="3"/>
      <c r="E76" s="3"/>
      <c r="F76" s="3"/>
      <c r="G76" s="2"/>
      <c r="H76" s="2"/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12" t="str">
        <f t="shared" si="3"/>
        <v/>
      </c>
      <c r="B77" s="3"/>
      <c r="C77" s="3"/>
      <c r="D77" s="3"/>
      <c r="E77" s="3"/>
      <c r="F77" s="3"/>
      <c r="G77" s="2"/>
      <c r="H77" s="2"/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2" t="str">
        <f t="shared" si="3"/>
        <v/>
      </c>
      <c r="B78" s="3"/>
      <c r="C78" s="3"/>
      <c r="D78" s="3"/>
      <c r="E78" s="3"/>
      <c r="F78" s="3"/>
      <c r="G78" s="2"/>
      <c r="H78" s="2"/>
      <c r="I78" s="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12" t="str">
        <f t="shared" si="3"/>
        <v/>
      </c>
      <c r="B79" s="3"/>
      <c r="C79" s="3"/>
      <c r="D79" s="3"/>
      <c r="E79" s="3"/>
      <c r="F79" s="3"/>
      <c r="G79" s="2"/>
      <c r="H79" s="2"/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2" t="str">
        <f t="shared" si="3"/>
        <v/>
      </c>
      <c r="B80" s="3"/>
      <c r="C80" s="3"/>
      <c r="D80" s="3"/>
      <c r="E80" s="3"/>
      <c r="F80" s="3"/>
      <c r="G80" s="2"/>
      <c r="H80" s="2"/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12" t="str">
        <f t="shared" si="3"/>
        <v/>
      </c>
      <c r="B81" s="3"/>
      <c r="C81" s="3"/>
      <c r="D81" s="3"/>
      <c r="E81" s="3"/>
      <c r="F81" s="3"/>
      <c r="G81" s="2"/>
      <c r="H81" s="2"/>
      <c r="I81" s="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2" t="str">
        <f t="shared" si="3"/>
        <v/>
      </c>
      <c r="B82" s="3"/>
      <c r="C82" s="3"/>
      <c r="D82" s="3"/>
      <c r="E82" s="3"/>
      <c r="F82" s="3"/>
      <c r="G82" s="2"/>
      <c r="H82" s="2"/>
      <c r="I82" s="2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12" t="str">
        <f t="shared" si="3"/>
        <v/>
      </c>
      <c r="B83" s="3"/>
      <c r="C83" s="3"/>
      <c r="D83" s="3"/>
      <c r="E83" s="3"/>
      <c r="F83" s="3"/>
      <c r="G83" s="2"/>
      <c r="H83" s="2"/>
      <c r="I83" s="2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2" t="str">
        <f t="shared" si="3"/>
        <v/>
      </c>
      <c r="B84" s="3"/>
      <c r="C84" s="3"/>
      <c r="D84" s="3"/>
      <c r="E84" s="3"/>
      <c r="F84" s="3"/>
      <c r="G84" s="2"/>
      <c r="H84" s="2"/>
      <c r="I84" s="2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12" t="str">
        <f t="shared" si="3"/>
        <v/>
      </c>
      <c r="B85" s="3"/>
      <c r="C85" s="3"/>
      <c r="D85" s="3"/>
      <c r="E85" s="3"/>
      <c r="F85" s="3"/>
      <c r="G85" s="2"/>
      <c r="H85" s="2"/>
      <c r="I85" s="2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2" t="str">
        <f t="shared" si="3"/>
        <v/>
      </c>
      <c r="B86" s="3"/>
      <c r="C86" s="3"/>
      <c r="D86" s="3"/>
      <c r="E86" s="3"/>
      <c r="F86" s="3"/>
      <c r="G86" s="2"/>
      <c r="H86" s="2"/>
      <c r="I86" s="2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12" t="str">
        <f t="shared" si="3"/>
        <v/>
      </c>
      <c r="B87" s="3"/>
      <c r="C87" s="3"/>
      <c r="D87" s="3"/>
      <c r="E87" s="3"/>
      <c r="F87" s="3"/>
      <c r="G87" s="2"/>
      <c r="H87" s="2"/>
      <c r="I87" s="2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2" t="str">
        <f t="shared" si="3"/>
        <v/>
      </c>
      <c r="B88" s="3"/>
      <c r="C88" s="3"/>
      <c r="D88" s="3"/>
      <c r="E88" s="3"/>
      <c r="F88" s="3"/>
      <c r="G88" s="2"/>
      <c r="H88" s="2"/>
      <c r="I88" s="2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12" t="str">
        <f t="shared" si="3"/>
        <v/>
      </c>
      <c r="B89" s="3"/>
      <c r="C89" s="3"/>
      <c r="D89" s="3"/>
      <c r="E89" s="3"/>
      <c r="F89" s="3"/>
      <c r="G89" s="2"/>
      <c r="H89" s="2"/>
      <c r="I89" s="2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2" t="str">
        <f t="shared" si="3"/>
        <v/>
      </c>
      <c r="B90" s="3"/>
      <c r="C90" s="3"/>
      <c r="D90" s="3"/>
      <c r="E90" s="3"/>
      <c r="F90" s="3"/>
      <c r="G90" s="2"/>
      <c r="H90" s="2"/>
      <c r="I90" s="2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12" t="str">
        <f t="shared" si="3"/>
        <v/>
      </c>
      <c r="B91" s="3"/>
      <c r="C91" s="3"/>
      <c r="D91" s="3"/>
      <c r="E91" s="3"/>
      <c r="F91" s="3"/>
      <c r="G91" s="2"/>
      <c r="H91" s="2"/>
      <c r="I91" s="2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2" t="str">
        <f t="shared" si="3"/>
        <v/>
      </c>
      <c r="B92" s="3"/>
      <c r="C92" s="3"/>
      <c r="D92" s="3"/>
      <c r="E92" s="3"/>
      <c r="F92" s="3"/>
      <c r="G92" s="2"/>
      <c r="H92" s="2"/>
      <c r="I92" s="2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12" t="str">
        <f t="shared" si="3"/>
        <v/>
      </c>
      <c r="B93" s="3"/>
      <c r="C93" s="3"/>
      <c r="D93" s="3"/>
      <c r="E93" s="3"/>
      <c r="F93" s="3"/>
      <c r="G93" s="2"/>
      <c r="H93" s="2"/>
      <c r="I93" s="2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2" t="str">
        <f t="shared" si="3"/>
        <v/>
      </c>
      <c r="B94" s="3"/>
      <c r="C94" s="3"/>
      <c r="D94" s="3"/>
      <c r="E94" s="3"/>
      <c r="F94" s="3"/>
      <c r="G94" s="2"/>
      <c r="H94" s="2"/>
      <c r="I94" s="2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12" t="str">
        <f t="shared" si="3"/>
        <v/>
      </c>
      <c r="B95" s="3"/>
      <c r="C95" s="3"/>
      <c r="D95" s="3"/>
      <c r="E95" s="3"/>
      <c r="F95" s="3"/>
      <c r="G95" s="2"/>
      <c r="H95" s="2"/>
      <c r="I95" s="2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2" t="str">
        <f t="shared" si="3"/>
        <v/>
      </c>
      <c r="B96" s="3"/>
      <c r="C96" s="3"/>
      <c r="D96" s="3"/>
      <c r="E96" s="3"/>
      <c r="F96" s="3"/>
      <c r="G96" s="2"/>
      <c r="H96" s="2"/>
      <c r="I96" s="2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12" t="str">
        <f t="shared" si="3"/>
        <v/>
      </c>
      <c r="B97" s="3"/>
      <c r="C97" s="3"/>
      <c r="D97" s="3"/>
      <c r="E97" s="3"/>
      <c r="F97" s="3"/>
      <c r="G97" s="2"/>
      <c r="H97" s="2"/>
      <c r="I97" s="2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2" t="str">
        <f t="shared" si="3"/>
        <v/>
      </c>
      <c r="B98" s="3"/>
      <c r="C98" s="3"/>
      <c r="D98" s="3"/>
      <c r="E98" s="3"/>
      <c r="F98" s="3"/>
      <c r="G98" s="2"/>
      <c r="H98" s="2"/>
      <c r="I98" s="2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12" t="str">
        <f t="shared" si="3"/>
        <v/>
      </c>
      <c r="B99" s="3"/>
      <c r="C99" s="3"/>
      <c r="D99" s="3"/>
      <c r="E99" s="3"/>
      <c r="F99" s="3"/>
      <c r="G99" s="2"/>
      <c r="H99" s="2"/>
      <c r="I99" s="2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2" t="str">
        <f t="shared" si="3"/>
        <v/>
      </c>
      <c r="B100" s="3"/>
      <c r="C100" s="3"/>
      <c r="D100" s="3"/>
      <c r="E100" s="3"/>
      <c r="F100" s="3"/>
      <c r="G100" s="2"/>
      <c r="H100" s="2"/>
      <c r="I100" s="2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2"/>
      <c r="H101" s="2"/>
      <c r="I101" s="2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2"/>
      <c r="H102" s="2"/>
      <c r="I102" s="2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2"/>
      <c r="H103" s="2"/>
      <c r="I103" s="2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2"/>
      <c r="H104" s="2"/>
      <c r="I104" s="2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2"/>
      <c r="H105" s="2"/>
      <c r="I105" s="2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2"/>
      <c r="H106" s="2"/>
      <c r="I106" s="2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2"/>
      <c r="H107" s="2"/>
      <c r="I107" s="2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2"/>
      <c r="H108" s="2"/>
      <c r="I108" s="2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2"/>
      <c r="H109" s="2"/>
      <c r="I109" s="2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2"/>
      <c r="H110" s="2"/>
      <c r="I110" s="2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2"/>
      <c r="H111" s="2"/>
      <c r="I111" s="2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2"/>
      <c r="H112" s="2"/>
      <c r="I112" s="2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2"/>
      <c r="H113" s="2"/>
      <c r="I113" s="2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2"/>
      <c r="H114" s="2"/>
      <c r="I114" s="2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2"/>
      <c r="H115" s="2"/>
      <c r="I115" s="2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2"/>
      <c r="H116" s="2"/>
      <c r="I116" s="2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2"/>
      <c r="H117" s="2"/>
      <c r="I117" s="2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2"/>
      <c r="H118" s="2"/>
      <c r="I118" s="2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2"/>
      <c r="H119" s="2"/>
      <c r="I119" s="2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2"/>
      <c r="H120" s="2"/>
      <c r="I120" s="2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2"/>
      <c r="H121" s="2"/>
      <c r="I121" s="2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2"/>
      <c r="H122" s="2"/>
      <c r="I122" s="2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2"/>
      <c r="H123" s="2"/>
      <c r="I123" s="2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2"/>
      <c r="H124" s="2"/>
      <c r="I124" s="2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2"/>
      <c r="H125" s="2"/>
      <c r="I125" s="2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2"/>
      <c r="H126" s="2"/>
      <c r="I126" s="2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2"/>
      <c r="H127" s="2"/>
      <c r="I127" s="2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2"/>
      <c r="H128" s="2"/>
      <c r="I128" s="2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2"/>
      <c r="H129" s="2"/>
      <c r="I129" s="2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2"/>
      <c r="H130" s="2"/>
      <c r="I130" s="2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2"/>
      <c r="H131" s="2"/>
      <c r="I131" s="2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2"/>
      <c r="H132" s="2"/>
      <c r="I132" s="2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2"/>
      <c r="H133" s="2"/>
      <c r="I133" s="2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2"/>
      <c r="H134" s="2"/>
      <c r="I134" s="2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2"/>
      <c r="H135" s="2"/>
      <c r="I135" s="2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2"/>
      <c r="H136" s="2"/>
      <c r="I136" s="2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2"/>
      <c r="H137" s="2"/>
      <c r="I137" s="2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2"/>
      <c r="H138" s="2"/>
      <c r="I138" s="2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2"/>
      <c r="H139" s="2"/>
      <c r="I139" s="2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2"/>
      <c r="H140" s="2"/>
      <c r="I140" s="2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2"/>
      <c r="H141" s="2"/>
      <c r="I141" s="2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2"/>
      <c r="H142" s="2"/>
      <c r="I142" s="2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2"/>
      <c r="H143" s="2"/>
      <c r="I143" s="2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2"/>
      <c r="H144" s="2"/>
      <c r="I144" s="2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2"/>
      <c r="H145" s="2"/>
      <c r="I145" s="2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2"/>
      <c r="H146" s="2"/>
      <c r="I146" s="2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2"/>
      <c r="H147" s="2"/>
      <c r="I147" s="2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2"/>
      <c r="H148" s="2"/>
      <c r="I148" s="2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2"/>
      <c r="H149" s="2"/>
      <c r="I149" s="2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2"/>
      <c r="H150" s="2"/>
      <c r="I150" s="2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2"/>
      <c r="H151" s="2"/>
      <c r="I151" s="2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2"/>
      <c r="H152" s="2"/>
      <c r="I152" s="2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2"/>
      <c r="H153" s="2"/>
      <c r="I153" s="2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2"/>
      <c r="H154" s="2"/>
      <c r="I154" s="2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2"/>
      <c r="H155" s="2"/>
      <c r="I155" s="2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2"/>
      <c r="H156" s="2"/>
      <c r="I156" s="2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2"/>
      <c r="H157" s="2"/>
      <c r="I157" s="2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2"/>
      <c r="H158" s="2"/>
      <c r="I158" s="2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2"/>
      <c r="H159" s="2"/>
      <c r="I159" s="2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2"/>
      <c r="H160" s="2"/>
      <c r="I160" s="2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2"/>
      <c r="H161" s="2"/>
      <c r="I161" s="2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2"/>
      <c r="H162" s="2"/>
      <c r="I162" s="2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2"/>
      <c r="H163" s="2"/>
      <c r="I163" s="2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2"/>
      <c r="H164" s="2"/>
      <c r="I164" s="2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2"/>
      <c r="H165" s="2"/>
      <c r="I165" s="2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2"/>
      <c r="H166" s="2"/>
      <c r="I166" s="2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2"/>
      <c r="H167" s="2"/>
      <c r="I167" s="2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2"/>
      <c r="H168" s="2"/>
      <c r="I168" s="2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2"/>
      <c r="H169" s="2"/>
      <c r="I169" s="2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2"/>
      <c r="H170" s="2"/>
      <c r="I170" s="2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2"/>
      <c r="H171" s="2"/>
      <c r="I171" s="2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2"/>
      <c r="H172" s="2"/>
      <c r="I172" s="2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2"/>
      <c r="H173" s="2"/>
      <c r="I173" s="2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2"/>
      <c r="H174" s="2"/>
      <c r="I174" s="2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2"/>
      <c r="H175" s="2"/>
      <c r="I175" s="2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2"/>
      <c r="H176" s="2"/>
      <c r="I176" s="2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2"/>
      <c r="H177" s="2"/>
      <c r="I177" s="2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2"/>
      <c r="H178" s="2"/>
      <c r="I178" s="2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2"/>
      <c r="H179" s="2"/>
      <c r="I179" s="2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2"/>
      <c r="H180" s="2"/>
      <c r="I180" s="2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2"/>
      <c r="H181" s="2"/>
      <c r="I181" s="2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2"/>
      <c r="H182" s="2"/>
      <c r="I182" s="2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2"/>
      <c r="H183" s="2"/>
      <c r="I183" s="2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2"/>
      <c r="H184" s="2"/>
      <c r="I184" s="2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2"/>
      <c r="H185" s="2"/>
      <c r="I185" s="2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2"/>
      <c r="H186" s="2"/>
      <c r="I186" s="2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2"/>
      <c r="H187" s="2"/>
      <c r="I187" s="2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2"/>
      <c r="H188" s="2"/>
      <c r="I188" s="2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2"/>
      <c r="H189" s="2"/>
      <c r="I189" s="2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2"/>
      <c r="H190" s="2"/>
      <c r="I190" s="2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2"/>
      <c r="H191" s="2"/>
      <c r="I191" s="2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2"/>
      <c r="H192" s="2"/>
      <c r="I192" s="2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2"/>
      <c r="H193" s="2"/>
      <c r="I193" s="2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2"/>
      <c r="H194" s="2"/>
      <c r="I194" s="2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2"/>
      <c r="H195" s="2"/>
      <c r="I195" s="2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2"/>
      <c r="H196" s="2"/>
      <c r="I196" s="2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2"/>
      <c r="H197" s="2"/>
      <c r="I197" s="2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2"/>
      <c r="H198" s="2"/>
      <c r="I198" s="2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2"/>
      <c r="H199" s="2"/>
      <c r="I199" s="2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2"/>
      <c r="H200" s="2"/>
      <c r="I200" s="2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2"/>
      <c r="H201" s="2"/>
      <c r="I201" s="2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2"/>
      <c r="H202" s="2"/>
      <c r="I202" s="2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2"/>
      <c r="H203" s="2"/>
      <c r="I203" s="2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2"/>
      <c r="H204" s="2"/>
      <c r="I204" s="2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2"/>
      <c r="H205" s="2"/>
      <c r="I205" s="2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2"/>
      <c r="H206" s="2"/>
      <c r="I206" s="2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2"/>
      <c r="H207" s="2"/>
      <c r="I207" s="2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2"/>
      <c r="H208" s="2"/>
      <c r="I208" s="2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2"/>
      <c r="H209" s="2"/>
      <c r="I209" s="2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2"/>
      <c r="H210" s="2"/>
      <c r="I210" s="2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2"/>
      <c r="H211" s="2"/>
      <c r="I211" s="2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2"/>
      <c r="H212" s="2"/>
      <c r="I212" s="2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2"/>
      <c r="H213" s="2"/>
      <c r="I213" s="2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2"/>
      <c r="H214" s="2"/>
      <c r="I214" s="2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2"/>
      <c r="H215" s="2"/>
      <c r="I215" s="2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2"/>
      <c r="H216" s="2"/>
      <c r="I216" s="2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2"/>
      <c r="H217" s="2"/>
      <c r="I217" s="2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2"/>
      <c r="H218" s="2"/>
      <c r="I218" s="2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2"/>
      <c r="H219" s="2"/>
      <c r="I219" s="2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2"/>
      <c r="H220" s="2"/>
      <c r="I220" s="2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2"/>
      <c r="H221" s="2"/>
      <c r="I221" s="2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2"/>
      <c r="H222" s="2"/>
      <c r="I222" s="2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2"/>
      <c r="H223" s="2"/>
      <c r="I223" s="2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2"/>
      <c r="H224" s="2"/>
      <c r="I224" s="2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2"/>
      <c r="H225" s="2"/>
      <c r="I225" s="2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2"/>
      <c r="H226" s="2"/>
      <c r="I226" s="2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2"/>
      <c r="H227" s="2"/>
      <c r="I227" s="2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2"/>
      <c r="H228" s="2"/>
      <c r="I228" s="2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2"/>
      <c r="H229" s="2"/>
      <c r="I229" s="2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2"/>
      <c r="H230" s="2"/>
      <c r="I230" s="2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2"/>
      <c r="H231" s="2"/>
      <c r="I231" s="2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2"/>
      <c r="H232" s="2"/>
      <c r="I232" s="2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2"/>
      <c r="H233" s="2"/>
      <c r="I233" s="2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2"/>
      <c r="H234" s="2"/>
      <c r="I234" s="2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2"/>
      <c r="H235" s="2"/>
      <c r="I235" s="2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2"/>
      <c r="H236" s="2"/>
      <c r="I236" s="2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2"/>
      <c r="H237" s="2"/>
      <c r="I237" s="2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2"/>
      <c r="H238" s="2"/>
      <c r="I238" s="2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2"/>
      <c r="H239" s="2"/>
      <c r="I239" s="2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2"/>
      <c r="H240" s="2"/>
      <c r="I240" s="2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2"/>
      <c r="H241" s="2"/>
      <c r="I241" s="2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2"/>
      <c r="H242" s="2"/>
      <c r="I242" s="2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2"/>
      <c r="H243" s="2"/>
      <c r="I243" s="2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2"/>
      <c r="H244" s="2"/>
      <c r="I244" s="2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2"/>
      <c r="H245" s="2"/>
      <c r="I245" s="2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2"/>
      <c r="H246" s="2"/>
      <c r="I246" s="2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2"/>
      <c r="H247" s="2"/>
      <c r="I247" s="2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2"/>
      <c r="H248" s="2"/>
      <c r="I248" s="2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2"/>
      <c r="H249" s="2"/>
      <c r="I249" s="2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2"/>
      <c r="H250" s="2"/>
      <c r="I250" s="2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2"/>
      <c r="H251" s="2"/>
      <c r="I251" s="2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2"/>
      <c r="H252" s="2"/>
      <c r="I252" s="2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2"/>
      <c r="H253" s="2"/>
      <c r="I253" s="2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2"/>
      <c r="H254" s="2"/>
      <c r="I254" s="2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2"/>
      <c r="H255" s="2"/>
      <c r="I255" s="2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2"/>
      <c r="H256" s="2"/>
      <c r="I256" s="2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2"/>
      <c r="H257" s="2"/>
      <c r="I257" s="2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2"/>
      <c r="H258" s="2"/>
      <c r="I258" s="2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2"/>
      <c r="H259" s="2"/>
      <c r="I259" s="2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2"/>
      <c r="H260" s="2"/>
      <c r="I260" s="2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2"/>
      <c r="H261" s="2"/>
      <c r="I261" s="2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2"/>
      <c r="H262" s="2"/>
      <c r="I262" s="2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2"/>
      <c r="H263" s="2"/>
      <c r="I263" s="2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2"/>
      <c r="H264" s="2"/>
      <c r="I264" s="2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2"/>
      <c r="H265" s="2"/>
      <c r="I265" s="2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2"/>
      <c r="H266" s="2"/>
      <c r="I266" s="2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2"/>
      <c r="H267" s="2"/>
      <c r="I267" s="2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2"/>
      <c r="H268" s="2"/>
      <c r="I268" s="2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2"/>
      <c r="H269" s="2"/>
      <c r="I269" s="2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2"/>
      <c r="H270" s="2"/>
      <c r="I270" s="2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2"/>
      <c r="H271" s="2"/>
      <c r="I271" s="2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2"/>
      <c r="H272" s="2"/>
      <c r="I272" s="2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2"/>
      <c r="H273" s="2"/>
      <c r="I273" s="2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2"/>
      <c r="H274" s="2"/>
      <c r="I274" s="2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2"/>
      <c r="H275" s="2"/>
      <c r="I275" s="2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2"/>
      <c r="H276" s="2"/>
      <c r="I276" s="2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2"/>
      <c r="H277" s="2"/>
      <c r="I277" s="2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2"/>
      <c r="H278" s="2"/>
      <c r="I278" s="2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2"/>
      <c r="H279" s="2"/>
      <c r="I279" s="2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2"/>
      <c r="H280" s="2"/>
      <c r="I280" s="2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2"/>
      <c r="H281" s="2"/>
      <c r="I281" s="2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2"/>
      <c r="H282" s="2"/>
      <c r="I282" s="2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2"/>
      <c r="H283" s="2"/>
      <c r="I283" s="2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2"/>
      <c r="H284" s="2"/>
      <c r="I284" s="2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2"/>
      <c r="H285" s="2"/>
      <c r="I285" s="2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2"/>
      <c r="H286" s="2"/>
      <c r="I286" s="2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2"/>
      <c r="H287" s="2"/>
      <c r="I287" s="2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2"/>
      <c r="H288" s="2"/>
      <c r="I288" s="2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2"/>
      <c r="H289" s="2"/>
      <c r="I289" s="2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2"/>
      <c r="H290" s="2"/>
      <c r="I290" s="2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2"/>
      <c r="H291" s="2"/>
      <c r="I291" s="2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2"/>
      <c r="H292" s="2"/>
      <c r="I292" s="2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2"/>
      <c r="H293" s="2"/>
      <c r="I293" s="2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2"/>
      <c r="H294" s="2"/>
      <c r="I294" s="2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2"/>
      <c r="H295" s="2"/>
      <c r="I295" s="2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2"/>
      <c r="H296" s="2"/>
      <c r="I296" s="2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2"/>
      <c r="H297" s="2"/>
      <c r="I297" s="2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2"/>
      <c r="H298" s="2"/>
      <c r="I298" s="2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2"/>
      <c r="H299" s="2"/>
      <c r="I299" s="2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2"/>
      <c r="H300" s="2"/>
      <c r="I300" s="2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2"/>
      <c r="H301" s="2"/>
      <c r="I301" s="2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2"/>
      <c r="H302" s="2"/>
      <c r="I302" s="2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2"/>
      <c r="H303" s="2"/>
      <c r="I303" s="2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2"/>
      <c r="H304" s="2"/>
      <c r="I304" s="2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2"/>
      <c r="H305" s="2"/>
      <c r="I305" s="2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2"/>
      <c r="H306" s="2"/>
      <c r="I306" s="2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2"/>
      <c r="H307" s="2"/>
      <c r="I307" s="2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2"/>
      <c r="H308" s="2"/>
      <c r="I308" s="2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2"/>
      <c r="H309" s="2"/>
      <c r="I309" s="2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2"/>
      <c r="H310" s="2"/>
      <c r="I310" s="2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2"/>
      <c r="H311" s="2"/>
      <c r="I311" s="2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2"/>
      <c r="H312" s="2"/>
      <c r="I312" s="2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2"/>
      <c r="H313" s="2"/>
      <c r="I313" s="2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2"/>
      <c r="H314" s="2"/>
      <c r="I314" s="2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2"/>
      <c r="H315" s="2"/>
      <c r="I315" s="2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2"/>
      <c r="H316" s="2"/>
      <c r="I316" s="2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2"/>
      <c r="H317" s="2"/>
      <c r="I317" s="2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2"/>
      <c r="H318" s="2"/>
      <c r="I318" s="2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2"/>
      <c r="H319" s="2"/>
      <c r="I319" s="2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2"/>
      <c r="H320" s="2"/>
      <c r="I320" s="2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2"/>
      <c r="H321" s="2"/>
      <c r="I321" s="2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2"/>
      <c r="H322" s="2"/>
      <c r="I322" s="2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2"/>
      <c r="H323" s="2"/>
      <c r="I323" s="2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2"/>
      <c r="H324" s="2"/>
      <c r="I324" s="2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2"/>
      <c r="H325" s="2"/>
      <c r="I325" s="2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2"/>
      <c r="H326" s="2"/>
      <c r="I326" s="2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2"/>
      <c r="H327" s="2"/>
      <c r="I327" s="2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2"/>
      <c r="H328" s="2"/>
      <c r="I328" s="2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2"/>
      <c r="H329" s="2"/>
      <c r="I329" s="2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2"/>
      <c r="H330" s="2"/>
      <c r="I330" s="2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2"/>
      <c r="H331" s="2"/>
      <c r="I331" s="2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2"/>
      <c r="H332" s="2"/>
      <c r="I332" s="2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2"/>
      <c r="H333" s="2"/>
      <c r="I333" s="2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2"/>
      <c r="H334" s="2"/>
      <c r="I334" s="2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2"/>
      <c r="H335" s="2"/>
      <c r="I335" s="2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2"/>
      <c r="H336" s="2"/>
      <c r="I336" s="2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2"/>
      <c r="H337" s="2"/>
      <c r="I337" s="2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2"/>
      <c r="H338" s="2"/>
      <c r="I338" s="2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2"/>
      <c r="H339" s="2"/>
      <c r="I339" s="2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2"/>
      <c r="H340" s="2"/>
      <c r="I340" s="2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2"/>
      <c r="H341" s="2"/>
      <c r="I341" s="2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2"/>
      <c r="H342" s="2"/>
      <c r="I342" s="2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2"/>
      <c r="H343" s="2"/>
      <c r="I343" s="2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2"/>
      <c r="H344" s="2"/>
      <c r="I344" s="2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2"/>
      <c r="H345" s="2"/>
      <c r="I345" s="2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2"/>
      <c r="H346" s="2"/>
      <c r="I346" s="2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2"/>
      <c r="H347" s="2"/>
      <c r="I347" s="2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2"/>
      <c r="H348" s="2"/>
      <c r="I348" s="2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2"/>
      <c r="H349" s="2"/>
      <c r="I349" s="2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2"/>
      <c r="H350" s="2"/>
      <c r="I350" s="2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2"/>
      <c r="H351" s="2"/>
      <c r="I351" s="2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2"/>
      <c r="H352" s="2"/>
      <c r="I352" s="2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2"/>
      <c r="H353" s="2"/>
      <c r="I353" s="2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2"/>
      <c r="H354" s="2"/>
      <c r="I354" s="2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2"/>
      <c r="H355" s="2"/>
      <c r="I355" s="2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2"/>
      <c r="H356" s="2"/>
      <c r="I356" s="2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2"/>
      <c r="H357" s="2"/>
      <c r="I357" s="2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2"/>
      <c r="H358" s="2"/>
      <c r="I358" s="2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2"/>
      <c r="H359" s="2"/>
      <c r="I359" s="2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2"/>
      <c r="H360" s="2"/>
      <c r="I360" s="2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2"/>
      <c r="H361" s="2"/>
      <c r="I361" s="2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2"/>
      <c r="H362" s="2"/>
      <c r="I362" s="2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2"/>
      <c r="H363" s="2"/>
      <c r="I363" s="2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2"/>
      <c r="H364" s="2"/>
      <c r="I364" s="2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2"/>
      <c r="H365" s="2"/>
      <c r="I365" s="2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2"/>
      <c r="H366" s="2"/>
      <c r="I366" s="2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2"/>
      <c r="H367" s="2"/>
      <c r="I367" s="2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2"/>
      <c r="H368" s="2"/>
      <c r="I368" s="2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2"/>
      <c r="H369" s="2"/>
      <c r="I369" s="2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2"/>
      <c r="H370" s="2"/>
      <c r="I370" s="2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2"/>
      <c r="H371" s="2"/>
      <c r="I371" s="2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2"/>
      <c r="H372" s="2"/>
      <c r="I372" s="2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2"/>
      <c r="H373" s="2"/>
      <c r="I373" s="2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2"/>
      <c r="H374" s="2"/>
      <c r="I374" s="2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2"/>
      <c r="H375" s="2"/>
      <c r="I375" s="2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2"/>
      <c r="H376" s="2"/>
      <c r="I376" s="2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2"/>
      <c r="H377" s="2"/>
      <c r="I377" s="2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2"/>
      <c r="H378" s="2"/>
      <c r="I378" s="2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2"/>
      <c r="H379" s="2"/>
      <c r="I379" s="2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2"/>
      <c r="H380" s="2"/>
      <c r="I380" s="2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2"/>
      <c r="H381" s="2"/>
      <c r="I381" s="2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2"/>
      <c r="H382" s="2"/>
      <c r="I382" s="2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2"/>
      <c r="H383" s="2"/>
      <c r="I383" s="2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2"/>
      <c r="H384" s="2"/>
      <c r="I384" s="2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2"/>
      <c r="H385" s="2"/>
      <c r="I385" s="2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2"/>
      <c r="H386" s="2"/>
      <c r="I386" s="2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2"/>
      <c r="H387" s="2"/>
      <c r="I387" s="2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2"/>
      <c r="H388" s="2"/>
      <c r="I388" s="2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2"/>
      <c r="H389" s="2"/>
      <c r="I389" s="2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2"/>
      <c r="H390" s="2"/>
      <c r="I390" s="2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2"/>
      <c r="H391" s="2"/>
      <c r="I391" s="2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2"/>
      <c r="H392" s="2"/>
      <c r="I392" s="2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2"/>
      <c r="H393" s="2"/>
      <c r="I393" s="2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2"/>
      <c r="H394" s="2"/>
      <c r="I394" s="2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2"/>
      <c r="H395" s="2"/>
      <c r="I395" s="2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2"/>
      <c r="H396" s="2"/>
      <c r="I396" s="2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2"/>
      <c r="H397" s="2"/>
      <c r="I397" s="2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2"/>
      <c r="H398" s="2"/>
      <c r="I398" s="2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2"/>
      <c r="H399" s="2"/>
      <c r="I399" s="2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2"/>
      <c r="H400" s="2"/>
      <c r="I400" s="2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2"/>
      <c r="H401" s="2"/>
      <c r="I401" s="2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2"/>
      <c r="H402" s="2"/>
      <c r="I402" s="2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2"/>
      <c r="H403" s="2"/>
      <c r="I403" s="2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2"/>
      <c r="H404" s="2"/>
      <c r="I404" s="2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2"/>
      <c r="H405" s="2"/>
      <c r="I405" s="2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2"/>
      <c r="H406" s="2"/>
      <c r="I406" s="2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2"/>
      <c r="H407" s="2"/>
      <c r="I407" s="2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2"/>
      <c r="H408" s="2"/>
      <c r="I408" s="2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2"/>
      <c r="H409" s="2"/>
      <c r="I409" s="2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2"/>
      <c r="H410" s="2"/>
      <c r="I410" s="2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2"/>
      <c r="H411" s="2"/>
      <c r="I411" s="2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2"/>
      <c r="H412" s="2"/>
      <c r="I412" s="2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2"/>
      <c r="H413" s="2"/>
      <c r="I413" s="2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2"/>
      <c r="H414" s="2"/>
      <c r="I414" s="2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2"/>
      <c r="H415" s="2"/>
      <c r="I415" s="2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2"/>
      <c r="H416" s="2"/>
      <c r="I416" s="2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2"/>
      <c r="H417" s="2"/>
      <c r="I417" s="2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2"/>
      <c r="H418" s="2"/>
      <c r="I418" s="2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2"/>
      <c r="H419" s="2"/>
      <c r="I419" s="2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2"/>
      <c r="H420" s="2"/>
      <c r="I420" s="2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2"/>
      <c r="H421" s="2"/>
      <c r="I421" s="2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2"/>
      <c r="H422" s="2"/>
      <c r="I422" s="2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2"/>
      <c r="H423" s="2"/>
      <c r="I423" s="2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2"/>
      <c r="H424" s="2"/>
      <c r="I424" s="2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2"/>
      <c r="H425" s="2"/>
      <c r="I425" s="2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2"/>
      <c r="H426" s="2"/>
      <c r="I426" s="2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2"/>
      <c r="H427" s="2"/>
      <c r="I427" s="2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2"/>
      <c r="H428" s="2"/>
      <c r="I428" s="2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2"/>
      <c r="H429" s="2"/>
      <c r="I429" s="2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2"/>
      <c r="H430" s="2"/>
      <c r="I430" s="2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2"/>
      <c r="H431" s="2"/>
      <c r="I431" s="2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2"/>
      <c r="H432" s="2"/>
      <c r="I432" s="2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2"/>
      <c r="H433" s="2"/>
      <c r="I433" s="2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2"/>
      <c r="H434" s="2"/>
      <c r="I434" s="2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2"/>
      <c r="H435" s="2"/>
      <c r="I435" s="2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2"/>
      <c r="H436" s="2"/>
      <c r="I436" s="2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2"/>
      <c r="H437" s="2"/>
      <c r="I437" s="2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2"/>
      <c r="H438" s="2"/>
      <c r="I438" s="2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2"/>
      <c r="H439" s="2"/>
      <c r="I439" s="2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2"/>
      <c r="H440" s="2"/>
      <c r="I440" s="2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2"/>
      <c r="H441" s="2"/>
      <c r="I441" s="2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2"/>
      <c r="H442" s="2"/>
      <c r="I442" s="2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2"/>
      <c r="H443" s="2"/>
      <c r="I443" s="2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2"/>
      <c r="H444" s="2"/>
      <c r="I444" s="2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2"/>
      <c r="H445" s="2"/>
      <c r="I445" s="2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2"/>
      <c r="H446" s="2"/>
      <c r="I446" s="2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2"/>
      <c r="H447" s="2"/>
      <c r="I447" s="2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2"/>
      <c r="H448" s="2"/>
      <c r="I448" s="2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2"/>
      <c r="H449" s="2"/>
      <c r="I449" s="2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2"/>
      <c r="H450" s="2"/>
      <c r="I450" s="2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2"/>
      <c r="H451" s="2"/>
      <c r="I451" s="2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2"/>
      <c r="H452" s="2"/>
      <c r="I452" s="2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2"/>
      <c r="H453" s="2"/>
      <c r="I453" s="2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2"/>
      <c r="H454" s="2"/>
      <c r="I454" s="2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2"/>
      <c r="H455" s="2"/>
      <c r="I455" s="2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2"/>
      <c r="H456" s="2"/>
      <c r="I456" s="2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2"/>
      <c r="H457" s="2"/>
      <c r="I457" s="2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2"/>
      <c r="H458" s="2"/>
      <c r="I458" s="2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2"/>
      <c r="H459" s="2"/>
      <c r="I459" s="2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2"/>
      <c r="H460" s="2"/>
      <c r="I460" s="2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2"/>
      <c r="H461" s="2"/>
      <c r="I461" s="2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2"/>
      <c r="H462" s="2"/>
      <c r="I462" s="2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2"/>
      <c r="H463" s="2"/>
      <c r="I463" s="2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2"/>
      <c r="H464" s="2"/>
      <c r="I464" s="2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2"/>
      <c r="H465" s="2"/>
      <c r="I465" s="2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2"/>
      <c r="H466" s="2"/>
      <c r="I466" s="2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2"/>
      <c r="H467" s="2"/>
      <c r="I467" s="2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2"/>
      <c r="H468" s="2"/>
      <c r="I468" s="2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2"/>
      <c r="H469" s="2"/>
      <c r="I469" s="2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2"/>
      <c r="H470" s="2"/>
      <c r="I470" s="2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2"/>
      <c r="H471" s="2"/>
      <c r="I471" s="2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2"/>
      <c r="H472" s="2"/>
      <c r="I472" s="2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2"/>
      <c r="H473" s="2"/>
      <c r="I473" s="2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2"/>
      <c r="H474" s="2"/>
      <c r="I474" s="2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2"/>
      <c r="H475" s="2"/>
      <c r="I475" s="2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2"/>
      <c r="H476" s="2"/>
      <c r="I476" s="2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2"/>
      <c r="H477" s="2"/>
      <c r="I477" s="2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2"/>
      <c r="H478" s="2"/>
      <c r="I478" s="2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2"/>
      <c r="H479" s="2"/>
      <c r="I479" s="2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2"/>
      <c r="H480" s="2"/>
      <c r="I480" s="2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2"/>
      <c r="H481" s="2"/>
      <c r="I481" s="2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2"/>
      <c r="H482" s="2"/>
      <c r="I482" s="2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2"/>
      <c r="H483" s="2"/>
      <c r="I483" s="2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2"/>
      <c r="H484" s="2"/>
      <c r="I484" s="2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2"/>
      <c r="H485" s="2"/>
      <c r="I485" s="2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2"/>
      <c r="H486" s="2"/>
      <c r="I486" s="2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2"/>
      <c r="H487" s="2"/>
      <c r="I487" s="2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2"/>
      <c r="H488" s="2"/>
      <c r="I488" s="2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2"/>
      <c r="H489" s="2"/>
      <c r="I489" s="2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2"/>
      <c r="H490" s="2"/>
      <c r="I490" s="2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2"/>
      <c r="H491" s="2"/>
      <c r="I491" s="2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2"/>
      <c r="H492" s="2"/>
      <c r="I492" s="2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2"/>
      <c r="H493" s="2"/>
      <c r="I493" s="2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2"/>
      <c r="H494" s="2"/>
      <c r="I494" s="2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2"/>
      <c r="H495" s="2"/>
      <c r="I495" s="2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2"/>
      <c r="H496" s="2"/>
      <c r="I496" s="2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2"/>
      <c r="H497" s="2"/>
      <c r="I497" s="2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2"/>
      <c r="H498" s="2"/>
      <c r="I498" s="2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2"/>
      <c r="H499" s="2"/>
      <c r="I499" s="2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2"/>
      <c r="H500" s="2"/>
      <c r="I500" s="2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2"/>
      <c r="H501" s="2"/>
      <c r="I501" s="2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2"/>
      <c r="H502" s="2"/>
      <c r="I502" s="2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2"/>
      <c r="H503" s="2"/>
      <c r="I503" s="2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2"/>
      <c r="H504" s="2"/>
      <c r="I504" s="2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2"/>
      <c r="H505" s="2"/>
      <c r="I505" s="2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2"/>
      <c r="H506" s="2"/>
      <c r="I506" s="2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2"/>
      <c r="H507" s="2"/>
      <c r="I507" s="2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2"/>
      <c r="H508" s="2"/>
      <c r="I508" s="2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2"/>
      <c r="H509" s="2"/>
      <c r="I509" s="2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2"/>
      <c r="H510" s="2"/>
      <c r="I510" s="2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2"/>
      <c r="H511" s="2"/>
      <c r="I511" s="2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2"/>
      <c r="H512" s="2"/>
      <c r="I512" s="2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2"/>
      <c r="H513" s="2"/>
      <c r="I513" s="2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2"/>
      <c r="H514" s="2"/>
      <c r="I514" s="2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2"/>
      <c r="H515" s="2"/>
      <c r="I515" s="2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2"/>
      <c r="H516" s="2"/>
      <c r="I516" s="2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2"/>
      <c r="H517" s="2"/>
      <c r="I517" s="2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2"/>
      <c r="H518" s="2"/>
      <c r="I518" s="2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2"/>
      <c r="H519" s="2"/>
      <c r="I519" s="2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2"/>
      <c r="H520" s="2"/>
      <c r="I520" s="2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2"/>
      <c r="H521" s="2"/>
      <c r="I521" s="2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2"/>
      <c r="H522" s="2"/>
      <c r="I522" s="2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2"/>
      <c r="H523" s="2"/>
      <c r="I523" s="2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2"/>
      <c r="H524" s="2"/>
      <c r="I524" s="2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2"/>
      <c r="H525" s="2"/>
      <c r="I525" s="2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2"/>
      <c r="H526" s="2"/>
      <c r="I526" s="2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2"/>
      <c r="H527" s="2"/>
      <c r="I527" s="2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2"/>
      <c r="H528" s="2"/>
      <c r="I528" s="2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2"/>
      <c r="H529" s="2"/>
      <c r="I529" s="2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2"/>
      <c r="H530" s="2"/>
      <c r="I530" s="2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2"/>
      <c r="H531" s="2"/>
      <c r="I531" s="2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2"/>
      <c r="H532" s="2"/>
      <c r="I532" s="2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2"/>
      <c r="H533" s="2"/>
      <c r="I533" s="2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2"/>
      <c r="H534" s="2"/>
      <c r="I534" s="2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2"/>
      <c r="H535" s="2"/>
      <c r="I535" s="2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2"/>
      <c r="H536" s="2"/>
      <c r="I536" s="2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2"/>
      <c r="H537" s="2"/>
      <c r="I537" s="2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2"/>
      <c r="H538" s="2"/>
      <c r="I538" s="2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2"/>
      <c r="H539" s="2"/>
      <c r="I539" s="2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2"/>
      <c r="H540" s="2"/>
      <c r="I540" s="2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2"/>
      <c r="H541" s="2"/>
      <c r="I541" s="2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2"/>
      <c r="H542" s="2"/>
      <c r="I542" s="2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2"/>
      <c r="H543" s="2"/>
      <c r="I543" s="2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2"/>
      <c r="H544" s="2"/>
      <c r="I544" s="2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2"/>
      <c r="H545" s="2"/>
      <c r="I545" s="2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2"/>
      <c r="H546" s="2"/>
      <c r="I546" s="2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2"/>
      <c r="H547" s="2"/>
      <c r="I547" s="2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2"/>
      <c r="H548" s="2"/>
      <c r="I548" s="2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2"/>
      <c r="H549" s="2"/>
      <c r="I549" s="2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2"/>
      <c r="H550" s="2"/>
      <c r="I550" s="2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2"/>
      <c r="H551" s="2"/>
      <c r="I551" s="2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2"/>
      <c r="H552" s="2"/>
      <c r="I552" s="2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2"/>
      <c r="H553" s="2"/>
      <c r="I553" s="2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2"/>
      <c r="H554" s="2"/>
      <c r="I554" s="2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2"/>
      <c r="H555" s="2"/>
      <c r="I555" s="2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2"/>
      <c r="H556" s="2"/>
      <c r="I556" s="2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2"/>
      <c r="H557" s="2"/>
      <c r="I557" s="2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2"/>
      <c r="H558" s="2"/>
      <c r="I558" s="2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2"/>
      <c r="H559" s="2"/>
      <c r="I559" s="2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2"/>
      <c r="H560" s="2"/>
      <c r="I560" s="2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2"/>
      <c r="H561" s="2"/>
      <c r="I561" s="2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2"/>
      <c r="H562" s="2"/>
      <c r="I562" s="2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2"/>
      <c r="H563" s="2"/>
      <c r="I563" s="2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2"/>
      <c r="H564" s="2"/>
      <c r="I564" s="2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2"/>
      <c r="H565" s="2"/>
      <c r="I565" s="2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2"/>
      <c r="H566" s="2"/>
      <c r="I566" s="2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2"/>
      <c r="H567" s="2"/>
      <c r="I567" s="2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2"/>
      <c r="H568" s="2"/>
      <c r="I568" s="2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2"/>
      <c r="H569" s="2"/>
      <c r="I569" s="2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2"/>
      <c r="H570" s="2"/>
      <c r="I570" s="2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2"/>
      <c r="H571" s="2"/>
      <c r="I571" s="2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2"/>
      <c r="H572" s="2"/>
      <c r="I572" s="2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2"/>
      <c r="H573" s="2"/>
      <c r="I573" s="2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2"/>
      <c r="H574" s="2"/>
      <c r="I574" s="2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2"/>
      <c r="H575" s="2"/>
      <c r="I575" s="2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2"/>
      <c r="H576" s="2"/>
      <c r="I576" s="2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2"/>
      <c r="H577" s="2"/>
      <c r="I577" s="2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2"/>
      <c r="H578" s="2"/>
      <c r="I578" s="2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2"/>
      <c r="H579" s="2"/>
      <c r="I579" s="2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2"/>
      <c r="H580" s="2"/>
      <c r="I580" s="2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2"/>
      <c r="H581" s="2"/>
      <c r="I581" s="2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2"/>
      <c r="H582" s="2"/>
      <c r="I582" s="2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2"/>
      <c r="H583" s="2"/>
      <c r="I583" s="2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2"/>
      <c r="H584" s="2"/>
      <c r="I584" s="2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2"/>
      <c r="H585" s="2"/>
      <c r="I585" s="2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2"/>
      <c r="H586" s="2"/>
      <c r="I586" s="2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2"/>
      <c r="H587" s="2"/>
      <c r="I587" s="2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2"/>
      <c r="H588" s="2"/>
      <c r="I588" s="2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2"/>
      <c r="H589" s="2"/>
      <c r="I589" s="2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2"/>
      <c r="H590" s="2"/>
      <c r="I590" s="2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2"/>
      <c r="H591" s="2"/>
      <c r="I591" s="2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2"/>
      <c r="H592" s="2"/>
      <c r="I592" s="2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2"/>
      <c r="H593" s="2"/>
      <c r="I593" s="2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2"/>
      <c r="H594" s="2"/>
      <c r="I594" s="2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2"/>
      <c r="H595" s="2"/>
      <c r="I595" s="2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2"/>
      <c r="H596" s="2"/>
      <c r="I596" s="2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2"/>
      <c r="H597" s="2"/>
      <c r="I597" s="2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2"/>
      <c r="H598" s="2"/>
      <c r="I598" s="2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2"/>
      <c r="H599" s="2"/>
      <c r="I599" s="2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2"/>
      <c r="H600" s="2"/>
      <c r="I600" s="2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2"/>
      <c r="H601" s="2"/>
      <c r="I601" s="2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2"/>
      <c r="H602" s="2"/>
      <c r="I602" s="2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2"/>
      <c r="H603" s="2"/>
      <c r="I603" s="2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2"/>
      <c r="H604" s="2"/>
      <c r="I604" s="2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2"/>
      <c r="H605" s="2"/>
      <c r="I605" s="2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2"/>
      <c r="H606" s="2"/>
      <c r="I606" s="2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2"/>
      <c r="H607" s="2"/>
      <c r="I607" s="2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2"/>
      <c r="H608" s="2"/>
      <c r="I608" s="2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2"/>
      <c r="H609" s="2"/>
      <c r="I609" s="2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2"/>
      <c r="H610" s="2"/>
      <c r="I610" s="2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2"/>
      <c r="H611" s="2"/>
      <c r="I611" s="2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2"/>
      <c r="H612" s="2"/>
      <c r="I612" s="2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2"/>
      <c r="H613" s="2"/>
      <c r="I613" s="2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2"/>
      <c r="H614" s="2"/>
      <c r="I614" s="2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2"/>
      <c r="H615" s="2"/>
      <c r="I615" s="2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2"/>
      <c r="H616" s="2"/>
      <c r="I616" s="2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2"/>
      <c r="H617" s="2"/>
      <c r="I617" s="2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2"/>
      <c r="H618" s="2"/>
      <c r="I618" s="2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2"/>
      <c r="H619" s="2"/>
      <c r="I619" s="2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2"/>
      <c r="H620" s="2"/>
      <c r="I620" s="2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2"/>
      <c r="H621" s="2"/>
      <c r="I621" s="2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2"/>
      <c r="H622" s="2"/>
      <c r="I622" s="2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2"/>
      <c r="H623" s="2"/>
      <c r="I623" s="2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2"/>
      <c r="H624" s="2"/>
      <c r="I624" s="2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2"/>
      <c r="H625" s="2"/>
      <c r="I625" s="2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2"/>
      <c r="H626" s="2"/>
      <c r="I626" s="2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2"/>
      <c r="H627" s="2"/>
      <c r="I627" s="2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2"/>
      <c r="H628" s="2"/>
      <c r="I628" s="2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2"/>
      <c r="H629" s="2"/>
      <c r="I629" s="2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2"/>
      <c r="H630" s="2"/>
      <c r="I630" s="2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2"/>
      <c r="H631" s="2"/>
      <c r="I631" s="2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2"/>
      <c r="H632" s="2"/>
      <c r="I632" s="2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2"/>
      <c r="H633" s="2"/>
      <c r="I633" s="2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2"/>
      <c r="H634" s="2"/>
      <c r="I634" s="2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2"/>
      <c r="H635" s="2"/>
      <c r="I635" s="2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2"/>
      <c r="H636" s="2"/>
      <c r="I636" s="2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2"/>
      <c r="H637" s="2"/>
      <c r="I637" s="2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2"/>
      <c r="H638" s="2"/>
      <c r="I638" s="2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2"/>
      <c r="H639" s="2"/>
      <c r="I639" s="2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2"/>
      <c r="H640" s="2"/>
      <c r="I640" s="2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2"/>
      <c r="H641" s="2"/>
      <c r="I641" s="2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2"/>
      <c r="H642" s="2"/>
      <c r="I642" s="2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2"/>
      <c r="H643" s="2"/>
      <c r="I643" s="2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2"/>
      <c r="H644" s="2"/>
      <c r="I644" s="2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2"/>
      <c r="H645" s="2"/>
      <c r="I645" s="2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2"/>
      <c r="H646" s="2"/>
      <c r="I646" s="2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2"/>
      <c r="H647" s="2"/>
      <c r="I647" s="2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2"/>
      <c r="H648" s="2"/>
      <c r="I648" s="2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2"/>
      <c r="H649" s="2"/>
      <c r="I649" s="2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2"/>
      <c r="H650" s="2"/>
      <c r="I650" s="2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2"/>
      <c r="H651" s="2"/>
      <c r="I651" s="2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2"/>
      <c r="H652" s="2"/>
      <c r="I652" s="2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2"/>
      <c r="H653" s="2"/>
      <c r="I653" s="2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2"/>
      <c r="H654" s="2"/>
      <c r="I654" s="2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2"/>
      <c r="H655" s="2"/>
      <c r="I655" s="2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2"/>
      <c r="H656" s="2"/>
      <c r="I656" s="2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2"/>
      <c r="H657" s="2"/>
      <c r="I657" s="2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2"/>
      <c r="H658" s="2"/>
      <c r="I658" s="2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2"/>
      <c r="H659" s="2"/>
      <c r="I659" s="2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2"/>
      <c r="H660" s="2"/>
      <c r="I660" s="2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2"/>
      <c r="H661" s="2"/>
      <c r="I661" s="2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2"/>
      <c r="H662" s="2"/>
      <c r="I662" s="2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2"/>
      <c r="H663" s="2"/>
      <c r="I663" s="2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2"/>
      <c r="H664" s="2"/>
      <c r="I664" s="2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2"/>
      <c r="H665" s="2"/>
      <c r="I665" s="2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2"/>
      <c r="H666" s="2"/>
      <c r="I666" s="2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2"/>
      <c r="H667" s="2"/>
      <c r="I667" s="2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2"/>
      <c r="H668" s="2"/>
      <c r="I668" s="2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2"/>
      <c r="H669" s="2"/>
      <c r="I669" s="2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2"/>
      <c r="H670" s="2"/>
      <c r="I670" s="2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2"/>
      <c r="H671" s="2"/>
      <c r="I671" s="2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2"/>
      <c r="H672" s="2"/>
      <c r="I672" s="2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2"/>
      <c r="H673" s="2"/>
      <c r="I673" s="2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2"/>
      <c r="H674" s="2"/>
      <c r="I674" s="2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2"/>
      <c r="H675" s="2"/>
      <c r="I675" s="2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2"/>
      <c r="H676" s="2"/>
      <c r="I676" s="2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2"/>
      <c r="H677" s="2"/>
      <c r="I677" s="2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2"/>
      <c r="H678" s="2"/>
      <c r="I678" s="2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2"/>
      <c r="H679" s="2"/>
      <c r="I679" s="2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2"/>
      <c r="H680" s="2"/>
      <c r="I680" s="2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2"/>
      <c r="H681" s="2"/>
      <c r="I681" s="2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2"/>
      <c r="H682" s="2"/>
      <c r="I682" s="2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2"/>
      <c r="H683" s="2"/>
      <c r="I683" s="2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2"/>
      <c r="H684" s="2"/>
      <c r="I684" s="2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2"/>
      <c r="H685" s="2"/>
      <c r="I685" s="2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2"/>
      <c r="H686" s="2"/>
      <c r="I686" s="2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2"/>
      <c r="H687" s="2"/>
      <c r="I687" s="2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2"/>
      <c r="H688" s="2"/>
      <c r="I688" s="2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2"/>
      <c r="H689" s="2"/>
      <c r="I689" s="2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2"/>
      <c r="H690" s="2"/>
      <c r="I690" s="2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2"/>
      <c r="H691" s="2"/>
      <c r="I691" s="2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2"/>
      <c r="H692" s="2"/>
      <c r="I692" s="2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2"/>
      <c r="H693" s="2"/>
      <c r="I693" s="2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2"/>
      <c r="H694" s="2"/>
      <c r="I694" s="2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2"/>
      <c r="H695" s="2"/>
      <c r="I695" s="2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2"/>
      <c r="H696" s="2"/>
      <c r="I696" s="2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2"/>
      <c r="H697" s="2"/>
      <c r="I697" s="2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2"/>
      <c r="H698" s="2"/>
      <c r="I698" s="2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2"/>
      <c r="H699" s="2"/>
      <c r="I699" s="2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2"/>
      <c r="H700" s="2"/>
      <c r="I700" s="2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2"/>
      <c r="H701" s="2"/>
      <c r="I701" s="2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2"/>
      <c r="H702" s="2"/>
      <c r="I702" s="2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2"/>
      <c r="H703" s="2"/>
      <c r="I703" s="2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2"/>
      <c r="H704" s="2"/>
      <c r="I704" s="2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2"/>
      <c r="H705" s="2"/>
      <c r="I705" s="2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2"/>
      <c r="H706" s="2"/>
      <c r="I706" s="2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2"/>
      <c r="H707" s="2"/>
      <c r="I707" s="2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2"/>
      <c r="H708" s="2"/>
      <c r="I708" s="2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2"/>
      <c r="H709" s="2"/>
      <c r="I709" s="2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2"/>
      <c r="H710" s="2"/>
      <c r="I710" s="2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2"/>
      <c r="H711" s="2"/>
      <c r="I711" s="2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2"/>
      <c r="H712" s="2"/>
      <c r="I712" s="2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2"/>
      <c r="H713" s="2"/>
      <c r="I713" s="2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2"/>
      <c r="H714" s="2"/>
      <c r="I714" s="2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2"/>
      <c r="H715" s="2"/>
      <c r="I715" s="2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2"/>
      <c r="H716" s="2"/>
      <c r="I716" s="2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2"/>
      <c r="H717" s="2"/>
      <c r="I717" s="2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2"/>
      <c r="H718" s="2"/>
      <c r="I718" s="2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2"/>
      <c r="H719" s="2"/>
      <c r="I719" s="2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2"/>
      <c r="H720" s="2"/>
      <c r="I720" s="2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2"/>
      <c r="H721" s="2"/>
      <c r="I721" s="2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2"/>
      <c r="H722" s="2"/>
      <c r="I722" s="2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2"/>
      <c r="H723" s="2"/>
      <c r="I723" s="2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2"/>
      <c r="H724" s="2"/>
      <c r="I724" s="2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2"/>
      <c r="H725" s="2"/>
      <c r="I725" s="2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2"/>
      <c r="H726" s="2"/>
      <c r="I726" s="2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2"/>
      <c r="H727" s="2"/>
      <c r="I727" s="2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2"/>
      <c r="H728" s="2"/>
      <c r="I728" s="2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2"/>
      <c r="H729" s="2"/>
      <c r="I729" s="2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2"/>
      <c r="H730" s="2"/>
      <c r="I730" s="2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2"/>
      <c r="H731" s="2"/>
      <c r="I731" s="2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2"/>
      <c r="H732" s="2"/>
      <c r="I732" s="2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2"/>
      <c r="H733" s="2"/>
      <c r="I733" s="2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2"/>
      <c r="H734" s="2"/>
      <c r="I734" s="2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2"/>
      <c r="H735" s="2"/>
      <c r="I735" s="2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2"/>
      <c r="H736" s="2"/>
      <c r="I736" s="2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2"/>
      <c r="H737" s="2"/>
      <c r="I737" s="2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2"/>
      <c r="H738" s="2"/>
      <c r="I738" s="2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2"/>
      <c r="H739" s="2"/>
      <c r="I739" s="2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2"/>
      <c r="H740" s="2"/>
      <c r="I740" s="2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2"/>
      <c r="H741" s="2"/>
      <c r="I741" s="2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2"/>
      <c r="H742" s="2"/>
      <c r="I742" s="2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2"/>
      <c r="H743" s="2"/>
      <c r="I743" s="2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2"/>
      <c r="H744" s="2"/>
      <c r="I744" s="2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2"/>
      <c r="H745" s="2"/>
      <c r="I745" s="2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2"/>
      <c r="H746" s="2"/>
      <c r="I746" s="2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2"/>
      <c r="H747" s="2"/>
      <c r="I747" s="2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2"/>
      <c r="H748" s="2"/>
      <c r="I748" s="2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2"/>
      <c r="H749" s="2"/>
      <c r="I749" s="2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2"/>
      <c r="H750" s="2"/>
      <c r="I750" s="2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2"/>
      <c r="H751" s="2"/>
      <c r="I751" s="2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2"/>
      <c r="H752" s="2"/>
      <c r="I752" s="2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2"/>
      <c r="H753" s="2"/>
      <c r="I753" s="2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2"/>
      <c r="H754" s="2"/>
      <c r="I754" s="2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2"/>
      <c r="H755" s="2"/>
      <c r="I755" s="2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2"/>
      <c r="H756" s="2"/>
      <c r="I756" s="2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2"/>
      <c r="H757" s="2"/>
      <c r="I757" s="2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2"/>
      <c r="H758" s="2"/>
      <c r="I758" s="2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2"/>
      <c r="H759" s="2"/>
      <c r="I759" s="2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2"/>
      <c r="H760" s="2"/>
      <c r="I760" s="2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2"/>
      <c r="H761" s="2"/>
      <c r="I761" s="2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2"/>
      <c r="H762" s="2"/>
      <c r="I762" s="2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2"/>
      <c r="H763" s="2"/>
      <c r="I763" s="2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2"/>
      <c r="H764" s="2"/>
      <c r="I764" s="2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2"/>
      <c r="H765" s="2"/>
      <c r="I765" s="2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2"/>
      <c r="H766" s="2"/>
      <c r="I766" s="2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2"/>
      <c r="H767" s="2"/>
      <c r="I767" s="2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2"/>
      <c r="H768" s="2"/>
      <c r="I768" s="2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2"/>
      <c r="H769" s="2"/>
      <c r="I769" s="2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2"/>
      <c r="H770" s="2"/>
      <c r="I770" s="2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2"/>
      <c r="H771" s="2"/>
      <c r="I771" s="2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2"/>
      <c r="H772" s="2"/>
      <c r="I772" s="2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2"/>
      <c r="H773" s="2"/>
      <c r="I773" s="2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2"/>
      <c r="H774" s="2"/>
      <c r="I774" s="2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2"/>
      <c r="H775" s="2"/>
      <c r="I775" s="2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2"/>
      <c r="H776" s="2"/>
      <c r="I776" s="2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2"/>
      <c r="H777" s="2"/>
      <c r="I777" s="2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2"/>
      <c r="H778" s="2"/>
      <c r="I778" s="2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2"/>
      <c r="H779" s="2"/>
      <c r="I779" s="2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2"/>
      <c r="H780" s="2"/>
      <c r="I780" s="2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2"/>
      <c r="H781" s="2"/>
      <c r="I781" s="2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2"/>
      <c r="H782" s="2"/>
      <c r="I782" s="2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2"/>
      <c r="H783" s="2"/>
      <c r="I783" s="2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2"/>
      <c r="H784" s="2"/>
      <c r="I784" s="2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2"/>
      <c r="H785" s="2"/>
      <c r="I785" s="2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2"/>
      <c r="H786" s="2"/>
      <c r="I786" s="2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2"/>
      <c r="H787" s="2"/>
      <c r="I787" s="2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2"/>
      <c r="H788" s="2"/>
      <c r="I788" s="2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2"/>
      <c r="H789" s="2"/>
      <c r="I789" s="2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2"/>
      <c r="H790" s="2"/>
      <c r="I790" s="2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2"/>
      <c r="H791" s="2"/>
      <c r="I791" s="2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2"/>
      <c r="H792" s="2"/>
      <c r="I792" s="2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2"/>
      <c r="H793" s="2"/>
      <c r="I793" s="2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2"/>
      <c r="H794" s="2"/>
      <c r="I794" s="2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2"/>
      <c r="H795" s="2"/>
      <c r="I795" s="2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2"/>
      <c r="H796" s="2"/>
      <c r="I796" s="2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2"/>
      <c r="H797" s="2"/>
      <c r="I797" s="2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2"/>
      <c r="H798" s="2"/>
      <c r="I798" s="2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2"/>
      <c r="H799" s="2"/>
      <c r="I799" s="2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2"/>
      <c r="H800" s="2"/>
      <c r="I800" s="2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2"/>
      <c r="H801" s="2"/>
      <c r="I801" s="2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2"/>
      <c r="H802" s="2"/>
      <c r="I802" s="2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2"/>
      <c r="H803" s="2"/>
      <c r="I803" s="2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2"/>
      <c r="H804" s="2"/>
      <c r="I804" s="2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2"/>
      <c r="H805" s="2"/>
      <c r="I805" s="2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2"/>
      <c r="H806" s="2"/>
      <c r="I806" s="2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2"/>
      <c r="H807" s="2"/>
      <c r="I807" s="2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2"/>
      <c r="H808" s="2"/>
      <c r="I808" s="2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2"/>
      <c r="H809" s="2"/>
      <c r="I809" s="2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2"/>
      <c r="H810" s="2"/>
      <c r="I810" s="2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2"/>
      <c r="H811" s="2"/>
      <c r="I811" s="2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2"/>
      <c r="H812" s="2"/>
      <c r="I812" s="2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2"/>
      <c r="H813" s="2"/>
      <c r="I813" s="2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2"/>
      <c r="H814" s="2"/>
      <c r="I814" s="2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2"/>
      <c r="H815" s="2"/>
      <c r="I815" s="2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2"/>
      <c r="H816" s="2"/>
      <c r="I816" s="2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2"/>
      <c r="H817" s="2"/>
      <c r="I817" s="2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2"/>
      <c r="H818" s="2"/>
      <c r="I818" s="2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2"/>
      <c r="H819" s="2"/>
      <c r="I819" s="2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2"/>
      <c r="H820" s="2"/>
      <c r="I820" s="2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2"/>
      <c r="H821" s="2"/>
      <c r="I821" s="2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2"/>
      <c r="H822" s="2"/>
      <c r="I822" s="2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2"/>
      <c r="H823" s="2"/>
      <c r="I823" s="2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2"/>
      <c r="H824" s="2"/>
      <c r="I824" s="2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2"/>
      <c r="H825" s="2"/>
      <c r="I825" s="2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2"/>
      <c r="H826" s="2"/>
      <c r="I826" s="2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2"/>
      <c r="H827" s="2"/>
      <c r="I827" s="2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2"/>
      <c r="H828" s="2"/>
      <c r="I828" s="2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2"/>
      <c r="H829" s="2"/>
      <c r="I829" s="2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2"/>
      <c r="H830" s="2"/>
      <c r="I830" s="2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2"/>
      <c r="H831" s="2"/>
      <c r="I831" s="2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2"/>
      <c r="H832" s="2"/>
      <c r="I832" s="2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2"/>
      <c r="H833" s="2"/>
      <c r="I833" s="2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2"/>
      <c r="H834" s="2"/>
      <c r="I834" s="2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2"/>
      <c r="H835" s="2"/>
      <c r="I835" s="2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2"/>
      <c r="H836" s="2"/>
      <c r="I836" s="2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2"/>
      <c r="H837" s="2"/>
      <c r="I837" s="2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2"/>
      <c r="H838" s="2"/>
      <c r="I838" s="2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2"/>
      <c r="H839" s="2"/>
      <c r="I839" s="2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2"/>
      <c r="H840" s="2"/>
      <c r="I840" s="2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2"/>
      <c r="H841" s="2"/>
      <c r="I841" s="2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2"/>
      <c r="H842" s="2"/>
      <c r="I842" s="2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2"/>
      <c r="H843" s="2"/>
      <c r="I843" s="2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2"/>
      <c r="H844" s="2"/>
      <c r="I844" s="2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2"/>
      <c r="H845" s="2"/>
      <c r="I845" s="2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2"/>
      <c r="H846" s="2"/>
      <c r="I846" s="2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2"/>
      <c r="H847" s="2"/>
      <c r="I847" s="2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2"/>
      <c r="H848" s="2"/>
      <c r="I848" s="2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2"/>
      <c r="H849" s="2"/>
      <c r="I849" s="2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2"/>
      <c r="H850" s="2"/>
      <c r="I850" s="2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2"/>
      <c r="H851" s="2"/>
      <c r="I851" s="2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2"/>
      <c r="H852" s="2"/>
      <c r="I852" s="2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2"/>
      <c r="H853" s="2"/>
      <c r="I853" s="2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2"/>
      <c r="H854" s="2"/>
      <c r="I854" s="2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2"/>
      <c r="H855" s="2"/>
      <c r="I855" s="2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2"/>
      <c r="H856" s="2"/>
      <c r="I856" s="2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2"/>
      <c r="H857" s="2"/>
      <c r="I857" s="2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2"/>
      <c r="H858" s="2"/>
      <c r="I858" s="2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2"/>
      <c r="H859" s="2"/>
      <c r="I859" s="2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2"/>
      <c r="H860" s="2"/>
      <c r="I860" s="2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2"/>
      <c r="H861" s="2"/>
      <c r="I861" s="2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2"/>
      <c r="H862" s="2"/>
      <c r="I862" s="2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2"/>
      <c r="H863" s="2"/>
      <c r="I863" s="2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2"/>
      <c r="H864" s="2"/>
      <c r="I864" s="2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2"/>
      <c r="H865" s="2"/>
      <c r="I865" s="2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2"/>
      <c r="H866" s="2"/>
      <c r="I866" s="2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2"/>
      <c r="H867" s="2"/>
      <c r="I867" s="2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2"/>
      <c r="H868" s="2"/>
      <c r="I868" s="2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2"/>
      <c r="H869" s="2"/>
      <c r="I869" s="2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2"/>
      <c r="H870" s="2"/>
      <c r="I870" s="2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2"/>
      <c r="H871" s="2"/>
      <c r="I871" s="2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2"/>
      <c r="H872" s="2"/>
      <c r="I872" s="2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2"/>
      <c r="H873" s="2"/>
      <c r="I873" s="2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2"/>
      <c r="H874" s="2"/>
      <c r="I874" s="2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2"/>
      <c r="H875" s="2"/>
      <c r="I875" s="2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2"/>
      <c r="H876" s="2"/>
      <c r="I876" s="2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2"/>
      <c r="H877" s="2"/>
      <c r="I877" s="2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2"/>
      <c r="H878" s="2"/>
      <c r="I878" s="2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2"/>
      <c r="H879" s="2"/>
      <c r="I879" s="2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2"/>
      <c r="H880" s="2"/>
      <c r="I880" s="2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2"/>
      <c r="H881" s="2"/>
      <c r="I881" s="2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2"/>
      <c r="H882" s="2"/>
      <c r="I882" s="2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2"/>
      <c r="H883" s="2"/>
      <c r="I883" s="2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2"/>
      <c r="H884" s="2"/>
      <c r="I884" s="2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2"/>
      <c r="H885" s="2"/>
      <c r="I885" s="2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2"/>
      <c r="H886" s="2"/>
      <c r="I886" s="2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2"/>
      <c r="H887" s="2"/>
      <c r="I887" s="2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2"/>
      <c r="H888" s="2"/>
      <c r="I888" s="2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2"/>
      <c r="H889" s="2"/>
      <c r="I889" s="2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2"/>
      <c r="H890" s="2"/>
      <c r="I890" s="2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2"/>
      <c r="H891" s="2"/>
      <c r="I891" s="2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2"/>
      <c r="H892" s="2"/>
      <c r="I892" s="2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2"/>
      <c r="H893" s="2"/>
      <c r="I893" s="2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2"/>
      <c r="H894" s="2"/>
      <c r="I894" s="2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2"/>
      <c r="H895" s="2"/>
      <c r="I895" s="2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2"/>
      <c r="H896" s="2"/>
      <c r="I896" s="2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2"/>
      <c r="H897" s="2"/>
      <c r="I897" s="2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2"/>
      <c r="H898" s="2"/>
      <c r="I898" s="2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2"/>
      <c r="H899" s="2"/>
      <c r="I899" s="2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2"/>
      <c r="H900" s="2"/>
      <c r="I900" s="2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2"/>
      <c r="H901" s="2"/>
      <c r="I901" s="2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2"/>
      <c r="H902" s="2"/>
      <c r="I902" s="2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2"/>
      <c r="H903" s="2"/>
      <c r="I903" s="2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2"/>
      <c r="H904" s="2"/>
      <c r="I904" s="2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2"/>
      <c r="H905" s="2"/>
      <c r="I905" s="2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2"/>
      <c r="H906" s="2"/>
      <c r="I906" s="2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2"/>
      <c r="H907" s="2"/>
      <c r="I907" s="2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2"/>
      <c r="H908" s="2"/>
      <c r="I908" s="2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2"/>
      <c r="H909" s="2"/>
      <c r="I909" s="2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2"/>
      <c r="H910" s="2"/>
      <c r="I910" s="2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2"/>
      <c r="H911" s="2"/>
      <c r="I911" s="2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2"/>
      <c r="H912" s="2"/>
      <c r="I912" s="2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2"/>
      <c r="H913" s="2"/>
      <c r="I913" s="2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2"/>
      <c r="H914" s="2"/>
      <c r="I914" s="2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2"/>
      <c r="H915" s="2"/>
      <c r="I915" s="2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2"/>
      <c r="H916" s="2"/>
      <c r="I916" s="2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2"/>
      <c r="H917" s="2"/>
      <c r="I917" s="2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2"/>
      <c r="H918" s="2"/>
      <c r="I918" s="2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2"/>
      <c r="H919" s="2"/>
      <c r="I919" s="2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2"/>
      <c r="H920" s="2"/>
      <c r="I920" s="2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2"/>
      <c r="H921" s="2"/>
      <c r="I921" s="2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2"/>
      <c r="H922" s="2"/>
      <c r="I922" s="2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2"/>
      <c r="H923" s="2"/>
      <c r="I923" s="2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2"/>
      <c r="H924" s="2"/>
      <c r="I924" s="2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2"/>
      <c r="H925" s="2"/>
      <c r="I925" s="2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2"/>
      <c r="H926" s="2"/>
      <c r="I926" s="2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2"/>
      <c r="H927" s="2"/>
      <c r="I927" s="2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2"/>
      <c r="H928" s="2"/>
      <c r="I928" s="2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2"/>
      <c r="H929" s="2"/>
      <c r="I929" s="2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2"/>
      <c r="H930" s="2"/>
      <c r="I930" s="2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2"/>
      <c r="H931" s="2"/>
      <c r="I931" s="2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2"/>
      <c r="H932" s="2"/>
      <c r="I932" s="2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2"/>
      <c r="H933" s="2"/>
      <c r="I933" s="2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2"/>
      <c r="H934" s="2"/>
      <c r="I934" s="2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2"/>
      <c r="H935" s="2"/>
      <c r="I935" s="2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2"/>
      <c r="H936" s="2"/>
      <c r="I936" s="2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2"/>
      <c r="H937" s="2"/>
      <c r="I937" s="2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2"/>
      <c r="H938" s="2"/>
      <c r="I938" s="2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2"/>
      <c r="H939" s="2"/>
      <c r="I939" s="2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2"/>
      <c r="H940" s="2"/>
      <c r="I940" s="2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2"/>
      <c r="H941" s="2"/>
      <c r="I941" s="2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2"/>
      <c r="H942" s="2"/>
      <c r="I942" s="2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2"/>
      <c r="H943" s="2"/>
      <c r="I943" s="2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2"/>
      <c r="H944" s="2"/>
      <c r="I944" s="2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2"/>
      <c r="H945" s="2"/>
      <c r="I945" s="2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2"/>
      <c r="H946" s="2"/>
      <c r="I946" s="2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2"/>
      <c r="H947" s="2"/>
      <c r="I947" s="2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2"/>
      <c r="H948" s="2"/>
      <c r="I948" s="2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2"/>
      <c r="H949" s="2"/>
      <c r="I949" s="2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2"/>
      <c r="H950" s="2"/>
      <c r="I950" s="2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2"/>
      <c r="H951" s="2"/>
      <c r="I951" s="2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2"/>
      <c r="H952" s="2"/>
      <c r="I952" s="2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2"/>
      <c r="H953" s="2"/>
      <c r="I953" s="2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2"/>
      <c r="H954" s="2"/>
      <c r="I954" s="2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2"/>
      <c r="H955" s="2"/>
      <c r="I955" s="2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2"/>
      <c r="H956" s="2"/>
      <c r="I956" s="2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2"/>
      <c r="H957" s="2"/>
      <c r="I957" s="2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2"/>
      <c r="H958" s="2"/>
      <c r="I958" s="2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2"/>
      <c r="H959" s="2"/>
      <c r="I959" s="2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2"/>
      <c r="H960" s="2"/>
      <c r="I960" s="2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2"/>
      <c r="H961" s="2"/>
      <c r="I961" s="2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2"/>
      <c r="H962" s="2"/>
      <c r="I962" s="2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2"/>
      <c r="H963" s="2"/>
      <c r="I963" s="2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2"/>
      <c r="H964" s="2"/>
      <c r="I964" s="2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2"/>
      <c r="H965" s="2"/>
      <c r="I965" s="2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2"/>
      <c r="H966" s="2"/>
      <c r="I966" s="2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2"/>
      <c r="H967" s="2"/>
      <c r="I967" s="2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2"/>
      <c r="H968" s="2"/>
      <c r="I968" s="2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2"/>
      <c r="H969" s="2"/>
      <c r="I969" s="2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2"/>
      <c r="H970" s="2"/>
      <c r="I970" s="2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2"/>
      <c r="H971" s="2"/>
      <c r="I971" s="2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2"/>
      <c r="H972" s="2"/>
      <c r="I972" s="2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2"/>
      <c r="H973" s="2"/>
      <c r="I973" s="2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2"/>
      <c r="H974" s="2"/>
      <c r="I974" s="2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2"/>
      <c r="H975" s="2"/>
      <c r="I975" s="2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2"/>
      <c r="H976" s="2"/>
      <c r="I976" s="2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2"/>
      <c r="H977" s="2"/>
      <c r="I977" s="2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2"/>
      <c r="H978" s="2"/>
      <c r="I978" s="2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2"/>
      <c r="H979" s="2"/>
      <c r="I979" s="2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2"/>
      <c r="H980" s="2"/>
      <c r="I980" s="2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2"/>
      <c r="H981" s="2"/>
      <c r="I981" s="2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2"/>
      <c r="H982" s="2"/>
      <c r="I982" s="2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2"/>
      <c r="H983" s="2"/>
      <c r="I983" s="2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2"/>
      <c r="H984" s="2"/>
      <c r="I984" s="2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2"/>
      <c r="H985" s="2"/>
      <c r="I985" s="2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2"/>
      <c r="H986" s="2"/>
      <c r="I986" s="2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2"/>
      <c r="H987" s="2"/>
      <c r="I987" s="2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2"/>
      <c r="H988" s="2"/>
      <c r="I988" s="2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2"/>
      <c r="H989" s="2"/>
      <c r="I989" s="2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2"/>
      <c r="H990" s="2"/>
      <c r="I990" s="2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2"/>
      <c r="H991" s="2"/>
      <c r="I991" s="2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2"/>
      <c r="H992" s="2"/>
      <c r="I992" s="2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2"/>
      <c r="H993" s="2"/>
      <c r="I993" s="2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2"/>
      <c r="H994" s="2"/>
      <c r="I994" s="2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2"/>
      <c r="H995" s="2"/>
      <c r="I995" s="2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2"/>
      <c r="H996" s="2"/>
      <c r="I996" s="2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</sheetData>
  <mergeCells count="16">
    <mergeCell ref="A4:F5"/>
    <mergeCell ref="A6:F6"/>
    <mergeCell ref="D11:E11"/>
    <mergeCell ref="A12:A13"/>
    <mergeCell ref="B12:B13"/>
    <mergeCell ref="C12:C13"/>
    <mergeCell ref="D12:D13"/>
    <mergeCell ref="E12:E13"/>
    <mergeCell ref="F12:F13"/>
    <mergeCell ref="L12:L13"/>
    <mergeCell ref="M12:M13"/>
    <mergeCell ref="G12:G13"/>
    <mergeCell ref="H12:H13"/>
    <mergeCell ref="I12:I13"/>
    <mergeCell ref="J12:J13"/>
    <mergeCell ref="K12:K13"/>
  </mergeCells>
  <conditionalFormatting sqref="D11:F11">
    <cfRule type="notContainsBlanks" dxfId="1" priority="1">
      <formula>LEN(TRIM(D11))&gt;0</formula>
    </cfRule>
  </conditionalFormatting>
  <conditionalFormatting sqref="A14:A100">
    <cfRule type="notContainsBlanks" dxfId="0" priority="2">
      <formula>LEN(TRIM(A14))&gt;0</formula>
    </cfRule>
  </conditionalFormatting>
  <printOptions horizontalCentered="1"/>
  <pageMargins left="0" right="0" top="0.196850393700787" bottom="0.196850393700787" header="0" footer="0"/>
  <pageSetup paperSize="9" orientation="landscape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00"/>
  <sheetViews>
    <sheetView zoomScaleNormal="100" workbookViewId="0"/>
  </sheetViews>
  <sheetFormatPr defaultColWidth="14.44140625" defaultRowHeight="14.4"/>
  <cols>
    <col min="1" max="1" width="9.88671875" customWidth="1"/>
    <col min="2" max="2" width="13.109375" customWidth="1"/>
    <col min="3" max="3" width="19.33203125" customWidth="1"/>
    <col min="4" max="4" width="27.33203125" customWidth="1"/>
    <col min="5" max="5" width="9.44140625" customWidth="1"/>
    <col min="6" max="6" width="13.6640625" customWidth="1"/>
    <col min="7" max="7" width="7.6640625" customWidth="1"/>
    <col min="8" max="8" width="12.109375" customWidth="1"/>
    <col min="9" max="9" width="23" customWidth="1"/>
    <col min="10" max="10" width="21.5546875" customWidth="1"/>
    <col min="11" max="11" width="23.109375" customWidth="1"/>
    <col min="12" max="12" width="9.88671875" customWidth="1"/>
    <col min="13" max="13" width="23.109375" customWidth="1"/>
    <col min="14" max="14" width="19.109375" customWidth="1"/>
    <col min="15" max="15" width="30.6640625" customWidth="1"/>
    <col min="16" max="16" width="20.88671875" customWidth="1"/>
    <col min="17" max="17" width="38.6640625" customWidth="1"/>
    <col min="18" max="18" width="34.109375" customWidth="1"/>
    <col min="19" max="19" width="29.88671875" customWidth="1"/>
    <col min="20" max="20" width="16.6640625" customWidth="1"/>
    <col min="21" max="22" width="18.109375" customWidth="1"/>
    <col min="23" max="23" width="25.88671875" customWidth="1"/>
    <col min="24" max="24" width="14.109375" customWidth="1"/>
    <col min="25" max="25" width="16" customWidth="1"/>
    <col min="26" max="26" width="11.33203125" customWidth="1"/>
    <col min="27" max="27" width="13.109375" customWidth="1"/>
    <col min="28" max="28" width="14.44140625" customWidth="1"/>
    <col min="29" max="34" width="9.109375" customWidth="1"/>
  </cols>
  <sheetData>
    <row r="1" spans="1:34" ht="14.25" customHeight="1">
      <c r="A1" s="38" t="s">
        <v>204</v>
      </c>
      <c r="B1" s="39"/>
      <c r="C1" s="39"/>
      <c r="D1" s="39"/>
      <c r="E1" s="39"/>
      <c r="F1" s="39"/>
      <c r="G1" s="40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</row>
    <row r="2" spans="1:34" ht="14.25" customHeight="1">
      <c r="A2" s="41" t="s">
        <v>7</v>
      </c>
      <c r="B2" s="41" t="s">
        <v>8</v>
      </c>
      <c r="C2" s="41" t="s">
        <v>9</v>
      </c>
      <c r="D2" s="42" t="s">
        <v>205</v>
      </c>
      <c r="E2" s="43"/>
      <c r="F2" s="41" t="s">
        <v>11</v>
      </c>
      <c r="G2" s="41" t="s">
        <v>206</v>
      </c>
      <c r="H2" s="41" t="s">
        <v>207</v>
      </c>
      <c r="I2" s="41" t="s">
        <v>208</v>
      </c>
      <c r="J2" s="41" t="s">
        <v>209</v>
      </c>
      <c r="K2" s="41" t="s">
        <v>210</v>
      </c>
      <c r="L2" s="41" t="s">
        <v>211</v>
      </c>
      <c r="M2" s="41" t="s">
        <v>212</v>
      </c>
      <c r="N2" s="41" t="s">
        <v>213</v>
      </c>
      <c r="O2" s="41" t="s">
        <v>214</v>
      </c>
      <c r="P2" s="41" t="s">
        <v>215</v>
      </c>
      <c r="Q2" s="41" t="s">
        <v>216</v>
      </c>
      <c r="R2" s="41" t="s">
        <v>217</v>
      </c>
      <c r="S2" s="41" t="s">
        <v>218</v>
      </c>
      <c r="T2" s="41" t="s">
        <v>219</v>
      </c>
      <c r="U2" s="41" t="s">
        <v>220</v>
      </c>
      <c r="V2" s="41" t="s">
        <v>221</v>
      </c>
      <c r="W2" s="41" t="s">
        <v>222</v>
      </c>
      <c r="X2" s="44" t="s">
        <v>223</v>
      </c>
      <c r="Y2" s="44" t="s">
        <v>224</v>
      </c>
      <c r="Z2" s="44" t="s">
        <v>225</v>
      </c>
      <c r="AA2" s="44" t="s">
        <v>226</v>
      </c>
      <c r="AB2" s="44" t="s">
        <v>227</v>
      </c>
      <c r="AC2" s="45"/>
      <c r="AD2" s="45"/>
      <c r="AE2" s="45"/>
      <c r="AF2" s="45"/>
      <c r="AG2" s="45"/>
      <c r="AH2" s="45"/>
    </row>
    <row r="3" spans="1:34" ht="27" customHeight="1">
      <c r="A3" s="46">
        <v>1</v>
      </c>
      <c r="B3" s="47" t="s">
        <v>13</v>
      </c>
      <c r="C3" s="47" t="s">
        <v>14</v>
      </c>
      <c r="D3" s="47" t="s">
        <v>15</v>
      </c>
      <c r="E3" s="47" t="s">
        <v>16</v>
      </c>
      <c r="F3" s="48">
        <v>41941</v>
      </c>
      <c r="G3" s="46" t="s">
        <v>228</v>
      </c>
      <c r="H3" s="47" t="s">
        <v>229</v>
      </c>
      <c r="I3" s="47" t="s">
        <v>230</v>
      </c>
      <c r="J3" s="47" t="s">
        <v>230</v>
      </c>
      <c r="K3" s="47" t="s">
        <v>230</v>
      </c>
      <c r="L3" s="47" t="s">
        <v>230</v>
      </c>
      <c r="M3" s="47" t="s">
        <v>230</v>
      </c>
      <c r="N3" s="47" t="s">
        <v>37</v>
      </c>
      <c r="O3" s="47" t="s">
        <v>231</v>
      </c>
      <c r="P3" s="47" t="s">
        <v>232</v>
      </c>
      <c r="Q3" s="47" t="s">
        <v>233</v>
      </c>
      <c r="R3" s="47" t="s">
        <v>230</v>
      </c>
      <c r="S3" s="47" t="s">
        <v>230</v>
      </c>
      <c r="T3" s="47" t="s">
        <v>230</v>
      </c>
      <c r="U3" s="47" t="s">
        <v>234</v>
      </c>
      <c r="V3" s="47" t="s">
        <v>235</v>
      </c>
      <c r="W3" s="47" t="s">
        <v>230</v>
      </c>
      <c r="X3" s="47" t="s">
        <v>230</v>
      </c>
      <c r="Y3" s="47" t="s">
        <v>230</v>
      </c>
      <c r="Z3" s="47" t="s">
        <v>230</v>
      </c>
      <c r="AA3" s="47" t="s">
        <v>230</v>
      </c>
      <c r="AB3" s="47" t="s">
        <v>230</v>
      </c>
      <c r="AC3" s="49"/>
      <c r="AD3" s="49"/>
      <c r="AE3" s="49"/>
      <c r="AF3" s="49"/>
      <c r="AG3" s="49"/>
      <c r="AH3" s="49"/>
    </row>
    <row r="4" spans="1:34" ht="27" customHeight="1">
      <c r="A4" s="46">
        <v>2</v>
      </c>
      <c r="B4" s="47" t="s">
        <v>17</v>
      </c>
      <c r="C4" s="47" t="s">
        <v>18</v>
      </c>
      <c r="D4" s="47" t="s">
        <v>19</v>
      </c>
      <c r="E4" s="47" t="s">
        <v>20</v>
      </c>
      <c r="F4" s="50">
        <v>42327</v>
      </c>
      <c r="G4" s="46" t="s">
        <v>228</v>
      </c>
      <c r="H4" s="47" t="s">
        <v>229</v>
      </c>
      <c r="I4" s="47" t="s">
        <v>230</v>
      </c>
      <c r="J4" s="47" t="s">
        <v>230</v>
      </c>
      <c r="K4" s="47" t="s">
        <v>230</v>
      </c>
      <c r="L4" s="47" t="s">
        <v>230</v>
      </c>
      <c r="M4" s="47" t="s">
        <v>230</v>
      </c>
      <c r="N4" s="47" t="s">
        <v>152</v>
      </c>
      <c r="O4" s="47" t="s">
        <v>236</v>
      </c>
      <c r="P4" s="47" t="s">
        <v>237</v>
      </c>
      <c r="Q4" s="47" t="s">
        <v>238</v>
      </c>
      <c r="R4" s="47" t="s">
        <v>230</v>
      </c>
      <c r="S4" s="47" t="s">
        <v>230</v>
      </c>
      <c r="T4" s="47" t="s">
        <v>230</v>
      </c>
      <c r="U4" s="47" t="s">
        <v>230</v>
      </c>
      <c r="V4" s="47" t="s">
        <v>230</v>
      </c>
      <c r="W4" s="47" t="s">
        <v>230</v>
      </c>
      <c r="X4" s="47" t="s">
        <v>230</v>
      </c>
      <c r="Y4" s="47" t="s">
        <v>239</v>
      </c>
      <c r="Z4" s="47" t="s">
        <v>230</v>
      </c>
      <c r="AA4" s="47" t="s">
        <v>230</v>
      </c>
      <c r="AB4" s="47" t="s">
        <v>230</v>
      </c>
      <c r="AC4" s="49"/>
      <c r="AD4" s="49"/>
      <c r="AE4" s="49"/>
      <c r="AF4" s="49"/>
      <c r="AG4" s="49"/>
      <c r="AH4" s="49"/>
    </row>
    <row r="5" spans="1:34" ht="27" customHeight="1">
      <c r="A5" s="46">
        <v>3</v>
      </c>
      <c r="B5" s="47" t="s">
        <v>21</v>
      </c>
      <c r="C5" s="47" t="s">
        <v>22</v>
      </c>
      <c r="D5" s="47" t="s">
        <v>23</v>
      </c>
      <c r="E5" s="47" t="s">
        <v>20</v>
      </c>
      <c r="F5" s="50">
        <v>42224</v>
      </c>
      <c r="G5" s="46" t="s">
        <v>228</v>
      </c>
      <c r="H5" s="47" t="s">
        <v>229</v>
      </c>
      <c r="I5" s="47" t="s">
        <v>240</v>
      </c>
      <c r="J5" s="47" t="s">
        <v>230</v>
      </c>
      <c r="K5" s="47" t="s">
        <v>241</v>
      </c>
      <c r="L5" s="47" t="s">
        <v>242</v>
      </c>
      <c r="M5" s="47" t="s">
        <v>230</v>
      </c>
      <c r="N5" s="47" t="s">
        <v>243</v>
      </c>
      <c r="O5" s="47" t="s">
        <v>244</v>
      </c>
      <c r="P5" s="47" t="s">
        <v>25</v>
      </c>
      <c r="Q5" s="47" t="s">
        <v>245</v>
      </c>
      <c r="R5" s="47" t="s">
        <v>230</v>
      </c>
      <c r="S5" s="47" t="s">
        <v>230</v>
      </c>
      <c r="T5" s="47" t="s">
        <v>230</v>
      </c>
      <c r="U5" s="47" t="s">
        <v>246</v>
      </c>
      <c r="V5" s="47" t="s">
        <v>247</v>
      </c>
      <c r="W5" s="47" t="s">
        <v>230</v>
      </c>
      <c r="X5" s="47" t="s">
        <v>230</v>
      </c>
      <c r="Y5" s="47" t="s">
        <v>248</v>
      </c>
      <c r="Z5" s="47" t="s">
        <v>230</v>
      </c>
      <c r="AA5" s="47" t="s">
        <v>230</v>
      </c>
      <c r="AB5" s="47" t="s">
        <v>230</v>
      </c>
      <c r="AC5" s="49"/>
      <c r="AD5" s="49"/>
      <c r="AE5" s="49"/>
      <c r="AF5" s="49"/>
      <c r="AG5" s="49"/>
      <c r="AH5" s="49"/>
    </row>
    <row r="6" spans="1:34" ht="27" customHeight="1">
      <c r="A6" s="46">
        <v>4</v>
      </c>
      <c r="B6" s="47" t="s">
        <v>24</v>
      </c>
      <c r="C6" s="47" t="s">
        <v>25</v>
      </c>
      <c r="D6" s="47" t="s">
        <v>26</v>
      </c>
      <c r="E6" s="47" t="s">
        <v>20</v>
      </c>
      <c r="F6" s="50">
        <v>41640</v>
      </c>
      <c r="G6" s="46" t="s">
        <v>228</v>
      </c>
      <c r="H6" s="47" t="s">
        <v>229</v>
      </c>
      <c r="I6" s="47" t="s">
        <v>249</v>
      </c>
      <c r="J6" s="47" t="s">
        <v>250</v>
      </c>
      <c r="K6" s="47" t="s">
        <v>251</v>
      </c>
      <c r="L6" s="47" t="s">
        <v>252</v>
      </c>
      <c r="M6" s="47" t="s">
        <v>253</v>
      </c>
      <c r="N6" s="47" t="s">
        <v>254</v>
      </c>
      <c r="O6" s="47" t="s">
        <v>255</v>
      </c>
      <c r="P6" s="47" t="s">
        <v>256</v>
      </c>
      <c r="Q6" s="47" t="s">
        <v>257</v>
      </c>
      <c r="R6" s="47" t="s">
        <v>230</v>
      </c>
      <c r="S6" s="47" t="s">
        <v>230</v>
      </c>
      <c r="T6" s="47" t="s">
        <v>230</v>
      </c>
      <c r="U6" s="47" t="s">
        <v>258</v>
      </c>
      <c r="V6" s="47" t="s">
        <v>259</v>
      </c>
      <c r="W6" s="47" t="s">
        <v>230</v>
      </c>
      <c r="X6" s="47" t="s">
        <v>230</v>
      </c>
      <c r="Y6" s="47" t="s">
        <v>260</v>
      </c>
      <c r="Z6" s="47" t="s">
        <v>230</v>
      </c>
      <c r="AA6" s="47" t="s">
        <v>230</v>
      </c>
      <c r="AB6" s="47" t="s">
        <v>230</v>
      </c>
      <c r="AC6" s="49"/>
      <c r="AD6" s="49"/>
      <c r="AE6" s="49"/>
      <c r="AF6" s="49"/>
      <c r="AG6" s="49"/>
      <c r="AH6" s="49"/>
    </row>
    <row r="7" spans="1:34" ht="27" customHeight="1">
      <c r="A7" s="46">
        <v>5</v>
      </c>
      <c r="B7" s="47" t="s">
        <v>27</v>
      </c>
      <c r="C7" s="47" t="s">
        <v>22</v>
      </c>
      <c r="D7" s="47" t="s">
        <v>28</v>
      </c>
      <c r="E7" s="47" t="s">
        <v>20</v>
      </c>
      <c r="F7" s="50">
        <v>42154</v>
      </c>
      <c r="G7" s="46" t="s">
        <v>228</v>
      </c>
      <c r="H7" s="47" t="s">
        <v>229</v>
      </c>
      <c r="I7" s="47" t="s">
        <v>230</v>
      </c>
      <c r="J7" s="47" t="s">
        <v>230</v>
      </c>
      <c r="K7" s="47" t="s">
        <v>230</v>
      </c>
      <c r="L7" s="47" t="s">
        <v>230</v>
      </c>
      <c r="M7" s="47" t="s">
        <v>230</v>
      </c>
      <c r="N7" s="47" t="s">
        <v>230</v>
      </c>
      <c r="O7" s="47" t="s">
        <v>230</v>
      </c>
      <c r="P7" s="47" t="s">
        <v>230</v>
      </c>
      <c r="Q7" s="47" t="s">
        <v>230</v>
      </c>
      <c r="R7" s="47" t="s">
        <v>230</v>
      </c>
      <c r="S7" s="47" t="s">
        <v>261</v>
      </c>
      <c r="T7" s="47" t="s">
        <v>230</v>
      </c>
      <c r="U7" s="47" t="s">
        <v>230</v>
      </c>
      <c r="V7" s="47" t="s">
        <v>230</v>
      </c>
      <c r="W7" s="47" t="s">
        <v>262</v>
      </c>
      <c r="X7" s="47" t="s">
        <v>230</v>
      </c>
      <c r="Y7" s="47" t="s">
        <v>230</v>
      </c>
      <c r="Z7" s="47" t="s">
        <v>230</v>
      </c>
      <c r="AA7" s="47" t="s">
        <v>230</v>
      </c>
      <c r="AB7" s="47" t="s">
        <v>230</v>
      </c>
      <c r="AC7" s="49"/>
      <c r="AD7" s="49"/>
      <c r="AE7" s="49"/>
      <c r="AF7" s="49"/>
      <c r="AG7" s="49"/>
      <c r="AH7" s="49"/>
    </row>
    <row r="8" spans="1:34" ht="27" customHeight="1">
      <c r="A8" s="46">
        <v>6</v>
      </c>
      <c r="B8" s="47" t="s">
        <v>29</v>
      </c>
      <c r="C8" s="47" t="s">
        <v>22</v>
      </c>
      <c r="D8" s="47" t="s">
        <v>30</v>
      </c>
      <c r="E8" s="47" t="s">
        <v>20</v>
      </c>
      <c r="F8" s="50">
        <v>42269</v>
      </c>
      <c r="G8" s="46" t="s">
        <v>228</v>
      </c>
      <c r="H8" s="47" t="s">
        <v>229</v>
      </c>
      <c r="I8" s="47" t="s">
        <v>263</v>
      </c>
      <c r="J8" s="47" t="s">
        <v>230</v>
      </c>
      <c r="K8" s="47" t="s">
        <v>264</v>
      </c>
      <c r="L8" s="47" t="s">
        <v>242</v>
      </c>
      <c r="M8" s="47" t="s">
        <v>230</v>
      </c>
      <c r="N8" s="47" t="s">
        <v>37</v>
      </c>
      <c r="O8" s="47" t="s">
        <v>265</v>
      </c>
      <c r="P8" s="47" t="s">
        <v>22</v>
      </c>
      <c r="Q8" s="47" t="s">
        <v>266</v>
      </c>
      <c r="R8" s="47" t="s">
        <v>230</v>
      </c>
      <c r="S8" s="47" t="s">
        <v>230</v>
      </c>
      <c r="T8" s="47" t="s">
        <v>230</v>
      </c>
      <c r="U8" s="47" t="s">
        <v>267</v>
      </c>
      <c r="V8" s="47" t="s">
        <v>268</v>
      </c>
      <c r="W8" s="47" t="s">
        <v>230</v>
      </c>
      <c r="X8" s="47" t="s">
        <v>230</v>
      </c>
      <c r="Y8" s="47" t="s">
        <v>230</v>
      </c>
      <c r="Z8" s="47" t="s">
        <v>230</v>
      </c>
      <c r="AA8" s="47" t="s">
        <v>230</v>
      </c>
      <c r="AB8" s="47" t="s">
        <v>230</v>
      </c>
      <c r="AC8" s="49"/>
      <c r="AD8" s="49"/>
      <c r="AE8" s="49"/>
      <c r="AF8" s="49"/>
      <c r="AG8" s="49"/>
      <c r="AH8" s="49"/>
    </row>
    <row r="9" spans="1:34" ht="27" customHeight="1">
      <c r="A9" s="46">
        <v>7</v>
      </c>
      <c r="B9" s="47" t="s">
        <v>31</v>
      </c>
      <c r="C9" s="47" t="s">
        <v>32</v>
      </c>
      <c r="D9" s="47" t="s">
        <v>33</v>
      </c>
      <c r="E9" s="47" t="s">
        <v>20</v>
      </c>
      <c r="F9" s="48">
        <v>42325</v>
      </c>
      <c r="G9" s="46" t="s">
        <v>228</v>
      </c>
      <c r="H9" s="47" t="s">
        <v>229</v>
      </c>
      <c r="I9" s="47" t="s">
        <v>269</v>
      </c>
      <c r="J9" s="47" t="s">
        <v>230</v>
      </c>
      <c r="K9" s="47" t="s">
        <v>264</v>
      </c>
      <c r="L9" s="47" t="s">
        <v>242</v>
      </c>
      <c r="M9" s="47" t="s">
        <v>32</v>
      </c>
      <c r="N9" s="47" t="s">
        <v>37</v>
      </c>
      <c r="O9" s="47" t="s">
        <v>270</v>
      </c>
      <c r="P9" s="47" t="s">
        <v>32</v>
      </c>
      <c r="Q9" s="47" t="s">
        <v>271</v>
      </c>
      <c r="R9" s="47" t="s">
        <v>230</v>
      </c>
      <c r="S9" s="47" t="s">
        <v>230</v>
      </c>
      <c r="T9" s="47" t="s">
        <v>230</v>
      </c>
      <c r="U9" s="47" t="s">
        <v>272</v>
      </c>
      <c r="V9" s="47" t="s">
        <v>273</v>
      </c>
      <c r="W9" s="47" t="s">
        <v>230</v>
      </c>
      <c r="X9" s="47" t="s">
        <v>274</v>
      </c>
      <c r="Y9" s="47" t="s">
        <v>275</v>
      </c>
      <c r="Z9" s="47" t="s">
        <v>230</v>
      </c>
      <c r="AA9" s="47" t="s">
        <v>230</v>
      </c>
      <c r="AB9" s="47" t="s">
        <v>230</v>
      </c>
      <c r="AC9" s="49"/>
      <c r="AD9" s="49"/>
      <c r="AE9" s="49"/>
      <c r="AF9" s="49"/>
      <c r="AG9" s="49"/>
      <c r="AH9" s="49"/>
    </row>
    <row r="10" spans="1:34" ht="27" customHeight="1">
      <c r="A10" s="46">
        <v>8</v>
      </c>
      <c r="B10" s="47" t="s">
        <v>34</v>
      </c>
      <c r="C10" s="47" t="s">
        <v>22</v>
      </c>
      <c r="D10" s="47" t="s">
        <v>35</v>
      </c>
      <c r="E10" s="47" t="s">
        <v>20</v>
      </c>
      <c r="F10" s="48">
        <v>41986</v>
      </c>
      <c r="G10" s="46" t="s">
        <v>228</v>
      </c>
      <c r="H10" s="47" t="s">
        <v>229</v>
      </c>
      <c r="I10" s="47" t="s">
        <v>276</v>
      </c>
      <c r="J10" s="47" t="s">
        <v>230</v>
      </c>
      <c r="K10" s="47" t="s">
        <v>264</v>
      </c>
      <c r="L10" s="47" t="s">
        <v>242</v>
      </c>
      <c r="M10" s="47" t="s">
        <v>277</v>
      </c>
      <c r="N10" s="47" t="s">
        <v>278</v>
      </c>
      <c r="O10" s="47" t="s">
        <v>279</v>
      </c>
      <c r="P10" s="47" t="s">
        <v>22</v>
      </c>
      <c r="Q10" s="47" t="s">
        <v>280</v>
      </c>
      <c r="R10" s="47" t="s">
        <v>230</v>
      </c>
      <c r="S10" s="47" t="s">
        <v>230</v>
      </c>
      <c r="T10" s="47" t="s">
        <v>230</v>
      </c>
      <c r="U10" s="47" t="s">
        <v>230</v>
      </c>
      <c r="V10" s="47" t="s">
        <v>281</v>
      </c>
      <c r="W10" s="47" t="s">
        <v>230</v>
      </c>
      <c r="X10" s="47" t="s">
        <v>230</v>
      </c>
      <c r="Y10" s="47" t="s">
        <v>282</v>
      </c>
      <c r="Z10" s="47" t="s">
        <v>230</v>
      </c>
      <c r="AA10" s="47" t="s">
        <v>230</v>
      </c>
      <c r="AB10" s="47" t="s">
        <v>230</v>
      </c>
      <c r="AC10" s="49"/>
      <c r="AD10" s="49"/>
      <c r="AE10" s="49"/>
      <c r="AF10" s="49"/>
      <c r="AG10" s="49"/>
      <c r="AH10" s="49"/>
    </row>
    <row r="11" spans="1:34" ht="27" customHeight="1">
      <c r="A11" s="46">
        <v>9</v>
      </c>
      <c r="B11" s="47" t="s">
        <v>36</v>
      </c>
      <c r="C11" s="47" t="s">
        <v>37</v>
      </c>
      <c r="D11" s="47" t="s">
        <v>38</v>
      </c>
      <c r="E11" s="47" t="s">
        <v>39</v>
      </c>
      <c r="F11" s="50">
        <v>42220</v>
      </c>
      <c r="G11" s="46" t="s">
        <v>228</v>
      </c>
      <c r="H11" s="47" t="s">
        <v>106</v>
      </c>
      <c r="I11" s="47" t="s">
        <v>283</v>
      </c>
      <c r="J11" s="47" t="s">
        <v>284</v>
      </c>
      <c r="K11" s="47" t="s">
        <v>264</v>
      </c>
      <c r="L11" s="47" t="s">
        <v>242</v>
      </c>
      <c r="M11" s="47" t="s">
        <v>285</v>
      </c>
      <c r="N11" s="47" t="s">
        <v>37</v>
      </c>
      <c r="O11" s="47" t="s">
        <v>286</v>
      </c>
      <c r="P11" s="47" t="s">
        <v>25</v>
      </c>
      <c r="Q11" s="47" t="s">
        <v>287</v>
      </c>
      <c r="R11" s="47" t="s">
        <v>230</v>
      </c>
      <c r="S11" s="47" t="s">
        <v>230</v>
      </c>
      <c r="T11" s="47" t="s">
        <v>230</v>
      </c>
      <c r="U11" s="51" t="s">
        <v>288</v>
      </c>
      <c r="V11" s="51" t="s">
        <v>289</v>
      </c>
      <c r="W11" s="47" t="s">
        <v>230</v>
      </c>
      <c r="X11" s="47" t="s">
        <v>230</v>
      </c>
      <c r="Y11" s="47" t="s">
        <v>290</v>
      </c>
      <c r="Z11" s="47" t="s">
        <v>230</v>
      </c>
      <c r="AA11" s="47" t="s">
        <v>230</v>
      </c>
      <c r="AB11" s="47" t="s">
        <v>230</v>
      </c>
      <c r="AC11" s="49"/>
      <c r="AD11" s="49"/>
      <c r="AE11" s="49"/>
      <c r="AF11" s="49"/>
      <c r="AG11" s="49"/>
      <c r="AH11" s="49"/>
    </row>
    <row r="12" spans="1:34" ht="27" customHeight="1">
      <c r="A12" s="46">
        <v>10</v>
      </c>
      <c r="B12" s="47" t="s">
        <v>40</v>
      </c>
      <c r="C12" s="47" t="s">
        <v>41</v>
      </c>
      <c r="D12" s="47" t="s">
        <v>42</v>
      </c>
      <c r="E12" s="47" t="s">
        <v>43</v>
      </c>
      <c r="F12" s="50">
        <v>42347</v>
      </c>
      <c r="G12" s="46" t="s">
        <v>228</v>
      </c>
      <c r="H12" s="47" t="s">
        <v>229</v>
      </c>
      <c r="I12" s="47" t="s">
        <v>291</v>
      </c>
      <c r="J12" s="47" t="s">
        <v>230</v>
      </c>
      <c r="K12" s="47" t="s">
        <v>241</v>
      </c>
      <c r="L12" s="47" t="s">
        <v>242</v>
      </c>
      <c r="M12" s="47" t="s">
        <v>230</v>
      </c>
      <c r="N12" s="47" t="s">
        <v>37</v>
      </c>
      <c r="O12" s="47" t="s">
        <v>292</v>
      </c>
      <c r="P12" s="47" t="s">
        <v>32</v>
      </c>
      <c r="Q12" s="47" t="s">
        <v>293</v>
      </c>
      <c r="R12" s="47" t="s">
        <v>230</v>
      </c>
      <c r="S12" s="47" t="s">
        <v>230</v>
      </c>
      <c r="T12" s="47" t="s">
        <v>230</v>
      </c>
      <c r="U12" s="51" t="s">
        <v>294</v>
      </c>
      <c r="V12" s="51" t="s">
        <v>295</v>
      </c>
      <c r="W12" s="47" t="s">
        <v>230</v>
      </c>
      <c r="X12" s="47" t="s">
        <v>230</v>
      </c>
      <c r="Y12" s="47" t="s">
        <v>275</v>
      </c>
      <c r="Z12" s="47" t="s">
        <v>230</v>
      </c>
      <c r="AA12" s="47" t="s">
        <v>230</v>
      </c>
      <c r="AB12" s="47" t="s">
        <v>230</v>
      </c>
      <c r="AC12" s="49"/>
      <c r="AD12" s="49"/>
      <c r="AE12" s="49"/>
      <c r="AF12" s="49"/>
      <c r="AG12" s="49"/>
      <c r="AH12" s="49"/>
    </row>
    <row r="13" spans="1:34" ht="27" customHeight="1">
      <c r="A13" s="46">
        <v>11</v>
      </c>
      <c r="B13" s="47" t="s">
        <v>44</v>
      </c>
      <c r="C13" s="47" t="s">
        <v>22</v>
      </c>
      <c r="D13" s="47" t="s">
        <v>45</v>
      </c>
      <c r="E13" s="47" t="s">
        <v>43</v>
      </c>
      <c r="F13" s="50">
        <v>42196</v>
      </c>
      <c r="G13" s="46" t="s">
        <v>228</v>
      </c>
      <c r="H13" s="47" t="s">
        <v>229</v>
      </c>
      <c r="I13" s="47" t="s">
        <v>296</v>
      </c>
      <c r="J13" s="47" t="s">
        <v>297</v>
      </c>
      <c r="K13" s="47" t="s">
        <v>264</v>
      </c>
      <c r="L13" s="47" t="s">
        <v>242</v>
      </c>
      <c r="M13" s="47" t="s">
        <v>277</v>
      </c>
      <c r="N13" s="47" t="s">
        <v>37</v>
      </c>
      <c r="O13" s="47" t="s">
        <v>298</v>
      </c>
      <c r="P13" s="47" t="s">
        <v>41</v>
      </c>
      <c r="Q13" s="47" t="s">
        <v>299</v>
      </c>
      <c r="R13" s="47" t="s">
        <v>230</v>
      </c>
      <c r="S13" s="47" t="s">
        <v>230</v>
      </c>
      <c r="T13" s="47" t="s">
        <v>230</v>
      </c>
      <c r="U13" s="51" t="s">
        <v>300</v>
      </c>
      <c r="V13" s="51" t="s">
        <v>301</v>
      </c>
      <c r="W13" s="47" t="s">
        <v>230</v>
      </c>
      <c r="X13" s="47" t="s">
        <v>230</v>
      </c>
      <c r="Y13" s="47" t="s">
        <v>302</v>
      </c>
      <c r="Z13" s="47" t="s">
        <v>230</v>
      </c>
      <c r="AA13" s="47" t="s">
        <v>230</v>
      </c>
      <c r="AB13" s="47" t="s">
        <v>230</v>
      </c>
      <c r="AC13" s="49"/>
      <c r="AD13" s="49"/>
      <c r="AE13" s="49"/>
      <c r="AF13" s="49"/>
      <c r="AG13" s="49"/>
      <c r="AH13" s="49"/>
    </row>
    <row r="14" spans="1:34" ht="27" customHeight="1">
      <c r="A14" s="46">
        <v>12</v>
      </c>
      <c r="B14" s="47" t="s">
        <v>46</v>
      </c>
      <c r="C14" s="47" t="s">
        <v>47</v>
      </c>
      <c r="D14" s="47" t="s">
        <v>48</v>
      </c>
      <c r="E14" s="47" t="s">
        <v>49</v>
      </c>
      <c r="F14" s="50">
        <v>42221</v>
      </c>
      <c r="G14" s="46" t="s">
        <v>228</v>
      </c>
      <c r="H14" s="47" t="s">
        <v>106</v>
      </c>
      <c r="I14" s="47" t="s">
        <v>303</v>
      </c>
      <c r="J14" s="47" t="s">
        <v>230</v>
      </c>
      <c r="K14" s="47" t="s">
        <v>264</v>
      </c>
      <c r="L14" s="47" t="s">
        <v>242</v>
      </c>
      <c r="M14" s="47" t="s">
        <v>32</v>
      </c>
      <c r="N14" s="47" t="s">
        <v>304</v>
      </c>
      <c r="O14" s="47" t="s">
        <v>305</v>
      </c>
      <c r="P14" s="47" t="s">
        <v>237</v>
      </c>
      <c r="Q14" s="47" t="s">
        <v>306</v>
      </c>
      <c r="R14" s="47" t="s">
        <v>230</v>
      </c>
      <c r="S14" s="47" t="s">
        <v>230</v>
      </c>
      <c r="T14" s="47" t="s">
        <v>230</v>
      </c>
      <c r="U14" s="51" t="s">
        <v>307</v>
      </c>
      <c r="V14" s="51" t="s">
        <v>308</v>
      </c>
      <c r="W14" s="47" t="s">
        <v>230</v>
      </c>
      <c r="X14" s="47" t="s">
        <v>309</v>
      </c>
      <c r="Y14" s="47" t="s">
        <v>230</v>
      </c>
      <c r="Z14" s="47" t="s">
        <v>230</v>
      </c>
      <c r="AA14" s="47" t="s">
        <v>230</v>
      </c>
      <c r="AB14" s="47" t="s">
        <v>230</v>
      </c>
      <c r="AC14" s="49"/>
      <c r="AD14" s="49"/>
      <c r="AE14" s="49"/>
      <c r="AF14" s="49"/>
      <c r="AG14" s="49"/>
      <c r="AH14" s="49"/>
    </row>
    <row r="15" spans="1:34" ht="27" customHeight="1">
      <c r="A15" s="46">
        <v>13</v>
      </c>
      <c r="B15" s="47" t="s">
        <v>50</v>
      </c>
      <c r="C15" s="47" t="s">
        <v>37</v>
      </c>
      <c r="D15" s="47" t="s">
        <v>51</v>
      </c>
      <c r="E15" s="47" t="s">
        <v>52</v>
      </c>
      <c r="F15" s="50">
        <v>42011</v>
      </c>
      <c r="G15" s="46" t="s">
        <v>228</v>
      </c>
      <c r="H15" s="47" t="s">
        <v>106</v>
      </c>
      <c r="I15" s="47" t="s">
        <v>310</v>
      </c>
      <c r="J15" s="47" t="s">
        <v>230</v>
      </c>
      <c r="K15" s="47" t="s">
        <v>264</v>
      </c>
      <c r="L15" s="47" t="s">
        <v>242</v>
      </c>
      <c r="M15" s="47" t="s">
        <v>68</v>
      </c>
      <c r="N15" s="47" t="s">
        <v>311</v>
      </c>
      <c r="O15" s="47" t="s">
        <v>312</v>
      </c>
      <c r="P15" s="47" t="s">
        <v>22</v>
      </c>
      <c r="Q15" s="47" t="s">
        <v>313</v>
      </c>
      <c r="R15" s="47" t="s">
        <v>230</v>
      </c>
      <c r="S15" s="47" t="s">
        <v>230</v>
      </c>
      <c r="T15" s="47" t="s">
        <v>230</v>
      </c>
      <c r="U15" s="51" t="s">
        <v>314</v>
      </c>
      <c r="V15" s="51" t="s">
        <v>315</v>
      </c>
      <c r="W15" s="47" t="s">
        <v>230</v>
      </c>
      <c r="X15" s="47" t="s">
        <v>230</v>
      </c>
      <c r="Y15" s="47" t="s">
        <v>230</v>
      </c>
      <c r="Z15" s="47" t="s">
        <v>230</v>
      </c>
      <c r="AA15" s="47" t="s">
        <v>230</v>
      </c>
      <c r="AB15" s="47" t="s">
        <v>230</v>
      </c>
      <c r="AC15" s="49"/>
      <c r="AD15" s="49"/>
      <c r="AE15" s="49"/>
      <c r="AF15" s="49"/>
      <c r="AG15" s="49"/>
      <c r="AH15" s="49"/>
    </row>
    <row r="16" spans="1:34" ht="27" customHeight="1">
      <c r="A16" s="46">
        <v>14</v>
      </c>
      <c r="B16" s="47" t="s">
        <v>53</v>
      </c>
      <c r="C16" s="47" t="s">
        <v>22</v>
      </c>
      <c r="D16" s="47" t="s">
        <v>54</v>
      </c>
      <c r="E16" s="47" t="s">
        <v>55</v>
      </c>
      <c r="F16" s="48">
        <v>42290</v>
      </c>
      <c r="G16" s="46" t="s">
        <v>228</v>
      </c>
      <c r="H16" s="47" t="s">
        <v>229</v>
      </c>
      <c r="I16" s="47" t="s">
        <v>316</v>
      </c>
      <c r="J16" s="47" t="s">
        <v>230</v>
      </c>
      <c r="K16" s="47" t="s">
        <v>317</v>
      </c>
      <c r="L16" s="47" t="s">
        <v>242</v>
      </c>
      <c r="M16" s="47" t="s">
        <v>318</v>
      </c>
      <c r="N16" s="47" t="s">
        <v>254</v>
      </c>
      <c r="O16" s="47" t="s">
        <v>319</v>
      </c>
      <c r="P16" s="47" t="s">
        <v>22</v>
      </c>
      <c r="Q16" s="47" t="s">
        <v>320</v>
      </c>
      <c r="R16" s="47" t="s">
        <v>230</v>
      </c>
      <c r="S16" s="47" t="s">
        <v>230</v>
      </c>
      <c r="T16" s="47" t="s">
        <v>230</v>
      </c>
      <c r="U16" s="51" t="s">
        <v>321</v>
      </c>
      <c r="V16" s="51" t="s">
        <v>322</v>
      </c>
      <c r="W16" s="47" t="s">
        <v>230</v>
      </c>
      <c r="X16" s="47" t="s">
        <v>230</v>
      </c>
      <c r="Y16" s="47" t="s">
        <v>323</v>
      </c>
      <c r="Z16" s="47" t="s">
        <v>230</v>
      </c>
      <c r="AA16" s="47" t="s">
        <v>230</v>
      </c>
      <c r="AB16" s="47" t="s">
        <v>230</v>
      </c>
      <c r="AC16" s="49"/>
      <c r="AD16" s="49"/>
      <c r="AE16" s="49"/>
      <c r="AF16" s="49"/>
      <c r="AG16" s="49"/>
      <c r="AH16" s="49"/>
    </row>
    <row r="17" spans="1:34" ht="27" customHeight="1">
      <c r="A17" s="46">
        <v>15</v>
      </c>
      <c r="B17" s="47" t="s">
        <v>56</v>
      </c>
      <c r="C17" s="47" t="s">
        <v>57</v>
      </c>
      <c r="D17" s="47" t="s">
        <v>58</v>
      </c>
      <c r="E17" s="47" t="s">
        <v>59</v>
      </c>
      <c r="F17" s="48">
        <v>41929</v>
      </c>
      <c r="G17" s="46" t="s">
        <v>228</v>
      </c>
      <c r="H17" s="47" t="s">
        <v>229</v>
      </c>
      <c r="I17" s="47" t="s">
        <v>324</v>
      </c>
      <c r="J17" s="47" t="s">
        <v>230</v>
      </c>
      <c r="K17" s="47" t="s">
        <v>241</v>
      </c>
      <c r="L17" s="47" t="s">
        <v>242</v>
      </c>
      <c r="M17" s="47" t="s">
        <v>325</v>
      </c>
      <c r="N17" s="47" t="s">
        <v>99</v>
      </c>
      <c r="O17" s="47" t="s">
        <v>326</v>
      </c>
      <c r="P17" s="47" t="s">
        <v>22</v>
      </c>
      <c r="Q17" s="47" t="s">
        <v>327</v>
      </c>
      <c r="R17" s="47" t="s">
        <v>230</v>
      </c>
      <c r="S17" s="47" t="s">
        <v>230</v>
      </c>
      <c r="T17" s="47" t="s">
        <v>230</v>
      </c>
      <c r="U17" s="51" t="s">
        <v>328</v>
      </c>
      <c r="V17" s="51" t="s">
        <v>329</v>
      </c>
      <c r="W17" s="47" t="s">
        <v>230</v>
      </c>
      <c r="X17" s="47" t="s">
        <v>230</v>
      </c>
      <c r="Y17" s="47" t="s">
        <v>330</v>
      </c>
      <c r="Z17" s="47" t="s">
        <v>230</v>
      </c>
      <c r="AA17" s="47" t="s">
        <v>230</v>
      </c>
      <c r="AB17" s="47" t="s">
        <v>230</v>
      </c>
      <c r="AC17" s="49"/>
      <c r="AD17" s="49"/>
      <c r="AE17" s="49"/>
      <c r="AF17" s="49"/>
      <c r="AG17" s="49"/>
      <c r="AH17" s="49"/>
    </row>
    <row r="18" spans="1:34" ht="27" customHeight="1">
      <c r="A18" s="46">
        <v>16</v>
      </c>
      <c r="B18" s="47" t="s">
        <v>60</v>
      </c>
      <c r="C18" s="47" t="s">
        <v>61</v>
      </c>
      <c r="D18" s="47" t="s">
        <v>62</v>
      </c>
      <c r="E18" s="47" t="s">
        <v>63</v>
      </c>
      <c r="F18" s="50">
        <v>41918</v>
      </c>
      <c r="G18" s="46" t="s">
        <v>228</v>
      </c>
      <c r="H18" s="47" t="s">
        <v>106</v>
      </c>
      <c r="I18" s="47" t="s">
        <v>230</v>
      </c>
      <c r="J18" s="47" t="s">
        <v>230</v>
      </c>
      <c r="K18" s="47" t="s">
        <v>230</v>
      </c>
      <c r="L18" s="47" t="s">
        <v>230</v>
      </c>
      <c r="M18" s="47" t="s">
        <v>325</v>
      </c>
      <c r="N18" s="47" t="s">
        <v>61</v>
      </c>
      <c r="O18" s="47" t="s">
        <v>331</v>
      </c>
      <c r="P18" s="47" t="s">
        <v>22</v>
      </c>
      <c r="Q18" s="47" t="s">
        <v>332</v>
      </c>
      <c r="R18" s="47" t="s">
        <v>230</v>
      </c>
      <c r="S18" s="47" t="s">
        <v>230</v>
      </c>
      <c r="T18" s="47" t="s">
        <v>230</v>
      </c>
      <c r="U18" s="51" t="s">
        <v>333</v>
      </c>
      <c r="V18" s="51" t="s">
        <v>334</v>
      </c>
      <c r="W18" s="47" t="s">
        <v>230</v>
      </c>
      <c r="X18" s="47" t="s">
        <v>230</v>
      </c>
      <c r="Y18" s="47" t="s">
        <v>335</v>
      </c>
      <c r="Z18" s="47" t="s">
        <v>230</v>
      </c>
      <c r="AA18" s="47" t="s">
        <v>230</v>
      </c>
      <c r="AB18" s="47" t="s">
        <v>230</v>
      </c>
      <c r="AC18" s="49"/>
      <c r="AD18" s="49"/>
      <c r="AE18" s="49"/>
      <c r="AF18" s="49"/>
      <c r="AG18" s="49"/>
      <c r="AH18" s="49"/>
    </row>
    <row r="19" spans="1:34" ht="27" customHeight="1">
      <c r="A19" s="46">
        <v>17</v>
      </c>
      <c r="B19" s="47" t="s">
        <v>64</v>
      </c>
      <c r="C19" s="47" t="s">
        <v>32</v>
      </c>
      <c r="D19" s="47" t="s">
        <v>65</v>
      </c>
      <c r="E19" s="47" t="s">
        <v>66</v>
      </c>
      <c r="F19" s="50">
        <v>42250</v>
      </c>
      <c r="G19" s="46" t="s">
        <v>228</v>
      </c>
      <c r="H19" s="47" t="s">
        <v>229</v>
      </c>
      <c r="I19" s="47" t="s">
        <v>336</v>
      </c>
      <c r="J19" s="47" t="s">
        <v>284</v>
      </c>
      <c r="K19" s="47" t="s">
        <v>264</v>
      </c>
      <c r="L19" s="47" t="s">
        <v>242</v>
      </c>
      <c r="M19" s="47" t="s">
        <v>337</v>
      </c>
      <c r="N19" s="47" t="s">
        <v>152</v>
      </c>
      <c r="O19" s="47" t="s">
        <v>338</v>
      </c>
      <c r="P19" s="47" t="s">
        <v>237</v>
      </c>
      <c r="Q19" s="47" t="s">
        <v>339</v>
      </c>
      <c r="R19" s="47" t="s">
        <v>230</v>
      </c>
      <c r="S19" s="47" t="s">
        <v>230</v>
      </c>
      <c r="T19" s="47" t="s">
        <v>230</v>
      </c>
      <c r="U19" s="47" t="s">
        <v>340</v>
      </c>
      <c r="V19" s="47" t="s">
        <v>230</v>
      </c>
      <c r="W19" s="47" t="s">
        <v>230</v>
      </c>
      <c r="X19" s="47" t="s">
        <v>230</v>
      </c>
      <c r="Y19" s="47" t="s">
        <v>230</v>
      </c>
      <c r="Z19" s="47" t="s">
        <v>230</v>
      </c>
      <c r="AA19" s="47" t="s">
        <v>230</v>
      </c>
      <c r="AB19" s="47" t="s">
        <v>230</v>
      </c>
      <c r="AC19" s="49"/>
      <c r="AD19" s="49"/>
      <c r="AE19" s="49"/>
      <c r="AF19" s="49"/>
      <c r="AG19" s="49"/>
      <c r="AH19" s="49"/>
    </row>
    <row r="20" spans="1:34" ht="27" customHeight="1">
      <c r="A20" s="46">
        <v>18</v>
      </c>
      <c r="B20" s="47" t="s">
        <v>67</v>
      </c>
      <c r="C20" s="47" t="s">
        <v>68</v>
      </c>
      <c r="D20" s="47" t="s">
        <v>69</v>
      </c>
      <c r="E20" s="47" t="s">
        <v>70</v>
      </c>
      <c r="F20" s="50">
        <v>42100</v>
      </c>
      <c r="G20" s="46" t="s">
        <v>228</v>
      </c>
      <c r="H20" s="47" t="s">
        <v>106</v>
      </c>
      <c r="I20" s="47" t="s">
        <v>230</v>
      </c>
      <c r="J20" s="47" t="s">
        <v>230</v>
      </c>
      <c r="K20" s="47" t="s">
        <v>230</v>
      </c>
      <c r="L20" s="47" t="s">
        <v>230</v>
      </c>
      <c r="M20" s="47" t="s">
        <v>32</v>
      </c>
      <c r="N20" s="47" t="s">
        <v>68</v>
      </c>
      <c r="O20" s="47" t="s">
        <v>341</v>
      </c>
      <c r="P20" s="47" t="s">
        <v>22</v>
      </c>
      <c r="Q20" s="47" t="s">
        <v>342</v>
      </c>
      <c r="R20" s="47" t="s">
        <v>230</v>
      </c>
      <c r="S20" s="47" t="s">
        <v>230</v>
      </c>
      <c r="T20" s="47" t="s">
        <v>230</v>
      </c>
      <c r="U20" s="47" t="s">
        <v>230</v>
      </c>
      <c r="V20" s="47" t="s">
        <v>230</v>
      </c>
      <c r="W20" s="47" t="s">
        <v>230</v>
      </c>
      <c r="X20" s="47" t="s">
        <v>230</v>
      </c>
      <c r="Y20" s="47" t="s">
        <v>343</v>
      </c>
      <c r="Z20" s="47" t="s">
        <v>230</v>
      </c>
      <c r="AA20" s="47" t="s">
        <v>230</v>
      </c>
      <c r="AB20" s="47" t="s">
        <v>230</v>
      </c>
      <c r="AC20" s="49"/>
      <c r="AD20" s="49"/>
      <c r="AE20" s="49"/>
      <c r="AF20" s="49"/>
      <c r="AG20" s="49"/>
      <c r="AH20" s="49"/>
    </row>
    <row r="21" spans="1:34" ht="27" customHeight="1">
      <c r="A21" s="46">
        <v>19</v>
      </c>
      <c r="B21" s="47" t="s">
        <v>71</v>
      </c>
      <c r="C21" s="47" t="s">
        <v>72</v>
      </c>
      <c r="D21" s="47" t="s">
        <v>62</v>
      </c>
      <c r="E21" s="47" t="s">
        <v>73</v>
      </c>
      <c r="F21" s="50">
        <v>42145</v>
      </c>
      <c r="G21" s="46" t="s">
        <v>228</v>
      </c>
      <c r="H21" s="47" t="s">
        <v>106</v>
      </c>
      <c r="I21" s="47" t="s">
        <v>230</v>
      </c>
      <c r="J21" s="47" t="s">
        <v>230</v>
      </c>
      <c r="K21" s="47" t="s">
        <v>230</v>
      </c>
      <c r="L21" s="47" t="s">
        <v>230</v>
      </c>
      <c r="M21" s="47" t="s">
        <v>230</v>
      </c>
      <c r="N21" s="47" t="s">
        <v>230</v>
      </c>
      <c r="O21" s="47" t="s">
        <v>230</v>
      </c>
      <c r="P21" s="47" t="s">
        <v>230</v>
      </c>
      <c r="Q21" s="47" t="s">
        <v>230</v>
      </c>
      <c r="R21" s="47" t="s">
        <v>230</v>
      </c>
      <c r="S21" s="47" t="s">
        <v>230</v>
      </c>
      <c r="T21" s="47" t="s">
        <v>230</v>
      </c>
      <c r="U21" s="47" t="s">
        <v>230</v>
      </c>
      <c r="V21" s="47" t="s">
        <v>230</v>
      </c>
      <c r="W21" s="47" t="s">
        <v>230</v>
      </c>
      <c r="X21" s="47" t="s">
        <v>230</v>
      </c>
      <c r="Y21" s="47" t="s">
        <v>230</v>
      </c>
      <c r="Z21" s="47" t="s">
        <v>230</v>
      </c>
      <c r="AA21" s="47" t="s">
        <v>230</v>
      </c>
      <c r="AB21" s="47" t="s">
        <v>230</v>
      </c>
      <c r="AC21" s="49"/>
      <c r="AD21" s="49"/>
      <c r="AE21" s="49"/>
      <c r="AF21" s="49"/>
      <c r="AG21" s="49"/>
      <c r="AH21" s="49"/>
    </row>
    <row r="22" spans="1:34" ht="27" customHeight="1">
      <c r="A22" s="46">
        <v>20</v>
      </c>
      <c r="B22" s="47" t="s">
        <v>74</v>
      </c>
      <c r="C22" s="47" t="s">
        <v>22</v>
      </c>
      <c r="D22" s="47" t="s">
        <v>75</v>
      </c>
      <c r="E22" s="47" t="s">
        <v>76</v>
      </c>
      <c r="F22" s="48">
        <v>42363</v>
      </c>
      <c r="G22" s="46" t="s">
        <v>228</v>
      </c>
      <c r="H22" s="47" t="s">
        <v>229</v>
      </c>
      <c r="I22" s="47" t="s">
        <v>230</v>
      </c>
      <c r="J22" s="47" t="s">
        <v>230</v>
      </c>
      <c r="K22" s="47" t="s">
        <v>230</v>
      </c>
      <c r="L22" s="47" t="s">
        <v>230</v>
      </c>
      <c r="M22" s="47" t="s">
        <v>230</v>
      </c>
      <c r="N22" s="47" t="s">
        <v>230</v>
      </c>
      <c r="O22" s="47" t="s">
        <v>230</v>
      </c>
      <c r="P22" s="47" t="s">
        <v>230</v>
      </c>
      <c r="Q22" s="47" t="s">
        <v>230</v>
      </c>
      <c r="R22" s="47" t="s">
        <v>230</v>
      </c>
      <c r="S22" s="47" t="s">
        <v>230</v>
      </c>
      <c r="T22" s="47" t="s">
        <v>230</v>
      </c>
      <c r="U22" s="47" t="s">
        <v>230</v>
      </c>
      <c r="V22" s="47" t="s">
        <v>230</v>
      </c>
      <c r="W22" s="47" t="s">
        <v>230</v>
      </c>
      <c r="X22" s="47" t="s">
        <v>230</v>
      </c>
      <c r="Y22" s="47" t="s">
        <v>230</v>
      </c>
      <c r="Z22" s="47" t="s">
        <v>230</v>
      </c>
      <c r="AA22" s="47" t="s">
        <v>230</v>
      </c>
      <c r="AB22" s="47" t="s">
        <v>230</v>
      </c>
      <c r="AC22" s="49"/>
      <c r="AD22" s="49"/>
      <c r="AE22" s="49"/>
      <c r="AF22" s="49"/>
      <c r="AG22" s="49"/>
      <c r="AH22" s="49"/>
    </row>
    <row r="23" spans="1:34" ht="27" customHeight="1">
      <c r="A23" s="46">
        <v>21</v>
      </c>
      <c r="B23" s="47" t="s">
        <v>77</v>
      </c>
      <c r="C23" s="47" t="s">
        <v>61</v>
      </c>
      <c r="D23" s="47" t="s">
        <v>78</v>
      </c>
      <c r="E23" s="47" t="s">
        <v>79</v>
      </c>
      <c r="F23" s="50">
        <v>41518</v>
      </c>
      <c r="G23" s="46" t="s">
        <v>228</v>
      </c>
      <c r="H23" s="47" t="s">
        <v>106</v>
      </c>
      <c r="I23" s="47" t="s">
        <v>344</v>
      </c>
      <c r="J23" s="47" t="s">
        <v>284</v>
      </c>
      <c r="K23" s="47" t="s">
        <v>264</v>
      </c>
      <c r="L23" s="47" t="s">
        <v>242</v>
      </c>
      <c r="M23" s="47" t="s">
        <v>345</v>
      </c>
      <c r="N23" s="47" t="s">
        <v>61</v>
      </c>
      <c r="O23" s="47" t="s">
        <v>346</v>
      </c>
      <c r="P23" s="47" t="s">
        <v>22</v>
      </c>
      <c r="Q23" s="47" t="s">
        <v>347</v>
      </c>
      <c r="R23" s="47" t="s">
        <v>230</v>
      </c>
      <c r="S23" s="47" t="s">
        <v>230</v>
      </c>
      <c r="T23" s="47" t="s">
        <v>230</v>
      </c>
      <c r="U23" s="47" t="s">
        <v>348</v>
      </c>
      <c r="V23" s="47" t="s">
        <v>349</v>
      </c>
      <c r="W23" s="47" t="s">
        <v>230</v>
      </c>
      <c r="X23" s="47" t="s">
        <v>230</v>
      </c>
      <c r="Y23" s="47" t="s">
        <v>350</v>
      </c>
      <c r="Z23" s="47" t="s">
        <v>230</v>
      </c>
      <c r="AA23" s="47" t="s">
        <v>230</v>
      </c>
      <c r="AB23" s="47" t="s">
        <v>230</v>
      </c>
      <c r="AC23" s="49"/>
      <c r="AD23" s="49"/>
      <c r="AE23" s="49"/>
      <c r="AF23" s="49"/>
      <c r="AG23" s="49"/>
      <c r="AH23" s="49"/>
    </row>
    <row r="24" spans="1:34" ht="27" customHeight="1">
      <c r="A24" s="46">
        <v>22</v>
      </c>
      <c r="B24" s="47" t="s">
        <v>80</v>
      </c>
      <c r="C24" s="47" t="s">
        <v>37</v>
      </c>
      <c r="D24" s="47" t="s">
        <v>81</v>
      </c>
      <c r="E24" s="47" t="s">
        <v>79</v>
      </c>
      <c r="F24" s="50">
        <v>42085</v>
      </c>
      <c r="G24" s="46" t="s">
        <v>228</v>
      </c>
      <c r="H24" s="47" t="s">
        <v>106</v>
      </c>
      <c r="I24" s="47" t="s">
        <v>351</v>
      </c>
      <c r="J24" s="47" t="s">
        <v>284</v>
      </c>
      <c r="K24" s="47" t="s">
        <v>264</v>
      </c>
      <c r="L24" s="47" t="s">
        <v>242</v>
      </c>
      <c r="M24" s="47" t="s">
        <v>337</v>
      </c>
      <c r="N24" s="47" t="s">
        <v>352</v>
      </c>
      <c r="O24" s="47" t="s">
        <v>353</v>
      </c>
      <c r="P24" s="47" t="s">
        <v>22</v>
      </c>
      <c r="Q24" s="47" t="s">
        <v>354</v>
      </c>
      <c r="R24" s="47" t="s">
        <v>230</v>
      </c>
      <c r="S24" s="47" t="s">
        <v>230</v>
      </c>
      <c r="T24" s="47" t="s">
        <v>230</v>
      </c>
      <c r="U24" s="47" t="s">
        <v>355</v>
      </c>
      <c r="V24" s="47" t="s">
        <v>230</v>
      </c>
      <c r="W24" s="47" t="s">
        <v>230</v>
      </c>
      <c r="X24" s="47" t="s">
        <v>230</v>
      </c>
      <c r="Y24" s="47" t="s">
        <v>356</v>
      </c>
      <c r="Z24" s="47" t="s">
        <v>230</v>
      </c>
      <c r="AA24" s="47" t="s">
        <v>230</v>
      </c>
      <c r="AB24" s="47" t="s">
        <v>230</v>
      </c>
      <c r="AC24" s="49"/>
      <c r="AD24" s="49"/>
      <c r="AE24" s="49"/>
      <c r="AF24" s="49"/>
      <c r="AG24" s="49"/>
      <c r="AH24" s="49"/>
    </row>
    <row r="25" spans="1:34" ht="27" customHeight="1">
      <c r="A25" s="46">
        <v>23</v>
      </c>
      <c r="B25" s="47" t="s">
        <v>82</v>
      </c>
      <c r="C25" s="47" t="s">
        <v>61</v>
      </c>
      <c r="D25" s="47" t="s">
        <v>83</v>
      </c>
      <c r="E25" s="47" t="s">
        <v>79</v>
      </c>
      <c r="F25" s="50">
        <v>41818</v>
      </c>
      <c r="G25" s="46" t="s">
        <v>228</v>
      </c>
      <c r="H25" s="47" t="s">
        <v>106</v>
      </c>
      <c r="I25" s="47" t="s">
        <v>230</v>
      </c>
      <c r="J25" s="47" t="s">
        <v>230</v>
      </c>
      <c r="K25" s="47" t="s">
        <v>230</v>
      </c>
      <c r="L25" s="47" t="s">
        <v>230</v>
      </c>
      <c r="M25" s="47" t="s">
        <v>230</v>
      </c>
      <c r="N25" s="47" t="s">
        <v>230</v>
      </c>
      <c r="O25" s="47" t="s">
        <v>230</v>
      </c>
      <c r="P25" s="47" t="s">
        <v>230</v>
      </c>
      <c r="Q25" s="47" t="s">
        <v>230</v>
      </c>
      <c r="R25" s="47" t="s">
        <v>230</v>
      </c>
      <c r="S25" s="47" t="s">
        <v>230</v>
      </c>
      <c r="T25" s="47" t="s">
        <v>230</v>
      </c>
      <c r="U25" s="47" t="s">
        <v>230</v>
      </c>
      <c r="V25" s="47" t="s">
        <v>230</v>
      </c>
      <c r="W25" s="47" t="s">
        <v>230</v>
      </c>
      <c r="X25" s="47" t="s">
        <v>230</v>
      </c>
      <c r="Y25" s="47" t="s">
        <v>230</v>
      </c>
      <c r="Z25" s="47" t="s">
        <v>230</v>
      </c>
      <c r="AA25" s="47" t="s">
        <v>230</v>
      </c>
      <c r="AB25" s="47" t="s">
        <v>230</v>
      </c>
      <c r="AC25" s="49"/>
      <c r="AD25" s="49"/>
      <c r="AE25" s="49"/>
      <c r="AF25" s="49"/>
      <c r="AG25" s="49"/>
      <c r="AH25" s="49"/>
    </row>
    <row r="26" spans="1:34" ht="27" customHeight="1">
      <c r="A26" s="46">
        <v>24</v>
      </c>
      <c r="B26" s="47" t="s">
        <v>84</v>
      </c>
      <c r="C26" s="47" t="s">
        <v>37</v>
      </c>
      <c r="D26" s="47" t="s">
        <v>62</v>
      </c>
      <c r="E26" s="47" t="s">
        <v>85</v>
      </c>
      <c r="F26" s="48">
        <v>42328</v>
      </c>
      <c r="G26" s="46" t="s">
        <v>228</v>
      </c>
      <c r="H26" s="47" t="s">
        <v>106</v>
      </c>
      <c r="I26" s="47" t="s">
        <v>230</v>
      </c>
      <c r="J26" s="47" t="s">
        <v>230</v>
      </c>
      <c r="K26" s="47" t="s">
        <v>230</v>
      </c>
      <c r="L26" s="47" t="s">
        <v>230</v>
      </c>
      <c r="M26" s="47" t="s">
        <v>230</v>
      </c>
      <c r="N26" s="47" t="s">
        <v>230</v>
      </c>
      <c r="O26" s="47" t="s">
        <v>230</v>
      </c>
      <c r="P26" s="47" t="s">
        <v>230</v>
      </c>
      <c r="Q26" s="47" t="s">
        <v>230</v>
      </c>
      <c r="R26" s="47" t="s">
        <v>230</v>
      </c>
      <c r="S26" s="47" t="s">
        <v>230</v>
      </c>
      <c r="T26" s="47" t="s">
        <v>230</v>
      </c>
      <c r="U26" s="47" t="s">
        <v>230</v>
      </c>
      <c r="V26" s="47" t="s">
        <v>230</v>
      </c>
      <c r="W26" s="47" t="s">
        <v>230</v>
      </c>
      <c r="X26" s="47" t="s">
        <v>230</v>
      </c>
      <c r="Y26" s="47" t="s">
        <v>230</v>
      </c>
      <c r="Z26" s="47" t="s">
        <v>230</v>
      </c>
      <c r="AA26" s="47" t="s">
        <v>230</v>
      </c>
      <c r="AB26" s="47" t="s">
        <v>230</v>
      </c>
      <c r="AC26" s="49"/>
      <c r="AD26" s="49"/>
      <c r="AE26" s="49"/>
      <c r="AF26" s="49"/>
      <c r="AG26" s="49"/>
      <c r="AH26" s="49"/>
    </row>
    <row r="27" spans="1:34" ht="27" customHeight="1">
      <c r="A27" s="46">
        <v>25</v>
      </c>
      <c r="B27" s="47" t="s">
        <v>86</v>
      </c>
      <c r="C27" s="47" t="s">
        <v>32</v>
      </c>
      <c r="D27" s="47" t="s">
        <v>87</v>
      </c>
      <c r="E27" s="47" t="s">
        <v>88</v>
      </c>
      <c r="F27" s="48">
        <v>41994</v>
      </c>
      <c r="G27" s="46" t="s">
        <v>228</v>
      </c>
      <c r="H27" s="47" t="s">
        <v>229</v>
      </c>
      <c r="I27" s="47" t="s">
        <v>357</v>
      </c>
      <c r="J27" s="47" t="s">
        <v>230</v>
      </c>
      <c r="K27" s="47" t="s">
        <v>264</v>
      </c>
      <c r="L27" s="47" t="s">
        <v>242</v>
      </c>
      <c r="M27" s="47" t="s">
        <v>277</v>
      </c>
      <c r="N27" s="47" t="s">
        <v>68</v>
      </c>
      <c r="O27" s="47" t="s">
        <v>358</v>
      </c>
      <c r="P27" s="47" t="s">
        <v>22</v>
      </c>
      <c r="Q27" s="47" t="s">
        <v>359</v>
      </c>
      <c r="R27" s="47" t="s">
        <v>230</v>
      </c>
      <c r="S27" s="47" t="s">
        <v>230</v>
      </c>
      <c r="T27" s="47" t="s">
        <v>230</v>
      </c>
      <c r="U27" s="47" t="s">
        <v>360</v>
      </c>
      <c r="V27" s="47" t="s">
        <v>361</v>
      </c>
      <c r="W27" s="47" t="s">
        <v>230</v>
      </c>
      <c r="X27" s="47" t="s">
        <v>274</v>
      </c>
      <c r="Y27" s="47" t="s">
        <v>230</v>
      </c>
      <c r="Z27" s="47" t="s">
        <v>230</v>
      </c>
      <c r="AA27" s="47" t="s">
        <v>230</v>
      </c>
      <c r="AB27" s="47" t="s">
        <v>230</v>
      </c>
      <c r="AC27" s="49"/>
      <c r="AD27" s="49"/>
      <c r="AE27" s="49"/>
      <c r="AF27" s="49"/>
      <c r="AG27" s="49"/>
      <c r="AH27" s="49"/>
    </row>
    <row r="28" spans="1:34" ht="27" customHeight="1">
      <c r="A28" s="46">
        <v>26</v>
      </c>
      <c r="B28" s="47" t="s">
        <v>89</v>
      </c>
      <c r="C28" s="47" t="s">
        <v>72</v>
      </c>
      <c r="D28" s="47" t="s">
        <v>90</v>
      </c>
      <c r="E28" s="47" t="s">
        <v>91</v>
      </c>
      <c r="F28" s="50">
        <v>40814</v>
      </c>
      <c r="G28" s="46" t="s">
        <v>228</v>
      </c>
      <c r="H28" s="47" t="s">
        <v>106</v>
      </c>
      <c r="I28" s="47" t="s">
        <v>362</v>
      </c>
      <c r="J28" s="47" t="s">
        <v>363</v>
      </c>
      <c r="K28" s="47" t="s">
        <v>364</v>
      </c>
      <c r="L28" s="47" t="s">
        <v>252</v>
      </c>
      <c r="M28" s="47" t="s">
        <v>230</v>
      </c>
      <c r="N28" s="47" t="s">
        <v>127</v>
      </c>
      <c r="O28" s="47" t="s">
        <v>365</v>
      </c>
      <c r="P28" s="47" t="s">
        <v>237</v>
      </c>
      <c r="Q28" s="47" t="s">
        <v>366</v>
      </c>
      <c r="R28" s="47" t="s">
        <v>230</v>
      </c>
      <c r="S28" s="47" t="s">
        <v>230</v>
      </c>
      <c r="T28" s="47" t="s">
        <v>230</v>
      </c>
      <c r="U28" s="47" t="s">
        <v>367</v>
      </c>
      <c r="V28" s="47" t="s">
        <v>368</v>
      </c>
      <c r="W28" s="47" t="s">
        <v>230</v>
      </c>
      <c r="X28" s="47" t="s">
        <v>230</v>
      </c>
      <c r="Y28" s="47" t="s">
        <v>230</v>
      </c>
      <c r="Z28" s="47" t="s">
        <v>230</v>
      </c>
      <c r="AA28" s="47" t="s">
        <v>230</v>
      </c>
      <c r="AB28" s="47" t="s">
        <v>230</v>
      </c>
      <c r="AC28" s="49"/>
      <c r="AD28" s="49"/>
      <c r="AE28" s="49"/>
      <c r="AF28" s="49"/>
      <c r="AG28" s="49"/>
      <c r="AH28" s="49"/>
    </row>
    <row r="29" spans="1:34" ht="27" customHeight="1">
      <c r="A29" s="46">
        <v>27</v>
      </c>
      <c r="B29" s="47" t="s">
        <v>92</v>
      </c>
      <c r="C29" s="47" t="s">
        <v>37</v>
      </c>
      <c r="D29" s="47" t="s">
        <v>93</v>
      </c>
      <c r="E29" s="47" t="s">
        <v>94</v>
      </c>
      <c r="F29" s="48">
        <v>41999</v>
      </c>
      <c r="G29" s="46" t="s">
        <v>228</v>
      </c>
      <c r="H29" s="47" t="s">
        <v>106</v>
      </c>
      <c r="I29" s="47" t="s">
        <v>369</v>
      </c>
      <c r="J29" s="47" t="s">
        <v>230</v>
      </c>
      <c r="K29" s="47" t="s">
        <v>264</v>
      </c>
      <c r="L29" s="47" t="s">
        <v>242</v>
      </c>
      <c r="M29" s="47" t="s">
        <v>254</v>
      </c>
      <c r="N29" s="47" t="s">
        <v>37</v>
      </c>
      <c r="O29" s="47" t="s">
        <v>370</v>
      </c>
      <c r="P29" s="47" t="s">
        <v>22</v>
      </c>
      <c r="Q29" s="47" t="s">
        <v>371</v>
      </c>
      <c r="R29" s="47" t="s">
        <v>230</v>
      </c>
      <c r="S29" s="47" t="s">
        <v>230</v>
      </c>
      <c r="T29" s="47" t="s">
        <v>230</v>
      </c>
      <c r="U29" s="47" t="s">
        <v>372</v>
      </c>
      <c r="V29" s="47" t="s">
        <v>373</v>
      </c>
      <c r="W29" s="47" t="s">
        <v>230</v>
      </c>
      <c r="X29" s="47" t="s">
        <v>230</v>
      </c>
      <c r="Y29" s="47" t="s">
        <v>374</v>
      </c>
      <c r="Z29" s="47" t="s">
        <v>230</v>
      </c>
      <c r="AA29" s="47" t="s">
        <v>230</v>
      </c>
      <c r="AB29" s="47" t="s">
        <v>230</v>
      </c>
      <c r="AC29" s="49"/>
      <c r="AD29" s="49"/>
      <c r="AE29" s="49"/>
      <c r="AF29" s="49"/>
      <c r="AG29" s="49"/>
      <c r="AH29" s="49"/>
    </row>
    <row r="30" spans="1:34" ht="27" customHeight="1">
      <c r="A30" s="46">
        <v>28</v>
      </c>
      <c r="B30" s="47" t="s">
        <v>95</v>
      </c>
      <c r="C30" s="47" t="s">
        <v>41</v>
      </c>
      <c r="D30" s="47" t="s">
        <v>96</v>
      </c>
      <c r="E30" s="47" t="s">
        <v>97</v>
      </c>
      <c r="F30" s="50">
        <v>41780</v>
      </c>
      <c r="G30" s="46" t="s">
        <v>228</v>
      </c>
      <c r="H30" s="47" t="s">
        <v>229</v>
      </c>
      <c r="I30" s="47" t="s">
        <v>375</v>
      </c>
      <c r="J30" s="47" t="s">
        <v>230</v>
      </c>
      <c r="K30" s="47" t="s">
        <v>264</v>
      </c>
      <c r="L30" s="47" t="s">
        <v>242</v>
      </c>
      <c r="M30" s="47" t="s">
        <v>337</v>
      </c>
      <c r="N30" s="47" t="s">
        <v>152</v>
      </c>
      <c r="O30" s="47" t="s">
        <v>376</v>
      </c>
      <c r="P30" s="47" t="s">
        <v>22</v>
      </c>
      <c r="Q30" s="47" t="s">
        <v>377</v>
      </c>
      <c r="R30" s="47" t="s">
        <v>230</v>
      </c>
      <c r="S30" s="47" t="s">
        <v>230</v>
      </c>
      <c r="T30" s="47" t="s">
        <v>230</v>
      </c>
      <c r="U30" s="47" t="s">
        <v>378</v>
      </c>
      <c r="V30" s="47" t="s">
        <v>379</v>
      </c>
      <c r="W30" s="47" t="s">
        <v>230</v>
      </c>
      <c r="X30" s="47" t="s">
        <v>380</v>
      </c>
      <c r="Y30" s="47" t="s">
        <v>230</v>
      </c>
      <c r="Z30" s="47" t="s">
        <v>230</v>
      </c>
      <c r="AA30" s="47" t="s">
        <v>230</v>
      </c>
      <c r="AB30" s="47" t="s">
        <v>230</v>
      </c>
      <c r="AC30" s="49"/>
      <c r="AD30" s="49"/>
      <c r="AE30" s="49"/>
      <c r="AF30" s="49"/>
      <c r="AG30" s="49"/>
      <c r="AH30" s="49"/>
    </row>
    <row r="31" spans="1:34" ht="27" customHeight="1">
      <c r="A31" s="46">
        <v>29</v>
      </c>
      <c r="B31" s="47" t="s">
        <v>98</v>
      </c>
      <c r="C31" s="47" t="s">
        <v>99</v>
      </c>
      <c r="D31" s="47" t="s">
        <v>42</v>
      </c>
      <c r="E31" s="47" t="s">
        <v>100</v>
      </c>
      <c r="F31" s="48">
        <v>42354</v>
      </c>
      <c r="G31" s="46" t="s">
        <v>228</v>
      </c>
      <c r="H31" s="47" t="s">
        <v>106</v>
      </c>
      <c r="I31" s="47" t="s">
        <v>381</v>
      </c>
      <c r="J31" s="47" t="s">
        <v>230</v>
      </c>
      <c r="K31" s="47" t="s">
        <v>264</v>
      </c>
      <c r="L31" s="47" t="s">
        <v>242</v>
      </c>
      <c r="M31" s="47" t="s">
        <v>285</v>
      </c>
      <c r="N31" s="47" t="s">
        <v>68</v>
      </c>
      <c r="O31" s="47" t="s">
        <v>382</v>
      </c>
      <c r="P31" s="47" t="s">
        <v>22</v>
      </c>
      <c r="Q31" s="47" t="s">
        <v>383</v>
      </c>
      <c r="R31" s="47" t="s">
        <v>230</v>
      </c>
      <c r="S31" s="47" t="s">
        <v>230</v>
      </c>
      <c r="T31" s="47" t="s">
        <v>230</v>
      </c>
      <c r="U31" s="47" t="s">
        <v>384</v>
      </c>
      <c r="V31" s="47" t="s">
        <v>230</v>
      </c>
      <c r="W31" s="47" t="s">
        <v>230</v>
      </c>
      <c r="X31" s="47" t="s">
        <v>385</v>
      </c>
      <c r="Y31" s="47" t="s">
        <v>230</v>
      </c>
      <c r="Z31" s="47" t="s">
        <v>230</v>
      </c>
      <c r="AA31" s="47" t="s">
        <v>230</v>
      </c>
      <c r="AB31" s="47" t="s">
        <v>230</v>
      </c>
      <c r="AC31" s="49"/>
      <c r="AD31" s="49"/>
      <c r="AE31" s="49"/>
      <c r="AF31" s="49"/>
      <c r="AG31" s="49"/>
      <c r="AH31" s="49"/>
    </row>
    <row r="32" spans="1:34" ht="27" customHeight="1">
      <c r="A32" s="46">
        <v>30</v>
      </c>
      <c r="B32" s="47" t="s">
        <v>101</v>
      </c>
      <c r="C32" s="47" t="s">
        <v>47</v>
      </c>
      <c r="D32" s="47" t="s">
        <v>102</v>
      </c>
      <c r="E32" s="47" t="s">
        <v>103</v>
      </c>
      <c r="F32" s="50">
        <v>42098</v>
      </c>
      <c r="G32" s="46" t="s">
        <v>228</v>
      </c>
      <c r="H32" s="47" t="s">
        <v>106</v>
      </c>
      <c r="I32" s="47" t="s">
        <v>230</v>
      </c>
      <c r="J32" s="47" t="s">
        <v>230</v>
      </c>
      <c r="K32" s="47" t="s">
        <v>230</v>
      </c>
      <c r="L32" s="47" t="s">
        <v>230</v>
      </c>
      <c r="M32" s="47" t="s">
        <v>230</v>
      </c>
      <c r="N32" s="47" t="s">
        <v>230</v>
      </c>
      <c r="O32" s="47" t="s">
        <v>230</v>
      </c>
      <c r="P32" s="47" t="s">
        <v>230</v>
      </c>
      <c r="Q32" s="47" t="s">
        <v>230</v>
      </c>
      <c r="R32" s="47" t="s">
        <v>230</v>
      </c>
      <c r="S32" s="47" t="s">
        <v>230</v>
      </c>
      <c r="T32" s="47" t="s">
        <v>230</v>
      </c>
      <c r="U32" s="47" t="s">
        <v>230</v>
      </c>
      <c r="V32" s="47" t="s">
        <v>230</v>
      </c>
      <c r="W32" s="47" t="s">
        <v>230</v>
      </c>
      <c r="X32" s="47" t="s">
        <v>230</v>
      </c>
      <c r="Y32" s="47" t="s">
        <v>230</v>
      </c>
      <c r="Z32" s="47" t="s">
        <v>230</v>
      </c>
      <c r="AA32" s="47" t="s">
        <v>230</v>
      </c>
      <c r="AB32" s="47" t="s">
        <v>230</v>
      </c>
      <c r="AC32" s="49"/>
      <c r="AD32" s="49"/>
      <c r="AE32" s="49"/>
      <c r="AF32" s="49"/>
      <c r="AG32" s="49"/>
      <c r="AH32" s="49"/>
    </row>
    <row r="33" spans="1:34" ht="27" customHeight="1">
      <c r="A33" s="46">
        <v>31</v>
      </c>
      <c r="B33" s="47" t="s">
        <v>104</v>
      </c>
      <c r="C33" s="47" t="s">
        <v>72</v>
      </c>
      <c r="D33" s="47" t="s">
        <v>105</v>
      </c>
      <c r="E33" s="47" t="s">
        <v>106</v>
      </c>
      <c r="F33" s="50">
        <v>42223</v>
      </c>
      <c r="G33" s="46" t="s">
        <v>228</v>
      </c>
      <c r="H33" s="47" t="s">
        <v>106</v>
      </c>
      <c r="I33" s="47" t="s">
        <v>386</v>
      </c>
      <c r="J33" s="47" t="s">
        <v>284</v>
      </c>
      <c r="K33" s="47" t="s">
        <v>264</v>
      </c>
      <c r="L33" s="47" t="s">
        <v>242</v>
      </c>
      <c r="M33" s="47" t="s">
        <v>37</v>
      </c>
      <c r="N33" s="47" t="s">
        <v>37</v>
      </c>
      <c r="O33" s="47" t="s">
        <v>387</v>
      </c>
      <c r="P33" s="47" t="s">
        <v>22</v>
      </c>
      <c r="Q33" s="47" t="s">
        <v>388</v>
      </c>
      <c r="R33" s="47" t="s">
        <v>230</v>
      </c>
      <c r="S33" s="47" t="s">
        <v>230</v>
      </c>
      <c r="T33" s="47" t="s">
        <v>230</v>
      </c>
      <c r="U33" s="47" t="s">
        <v>389</v>
      </c>
      <c r="V33" s="47" t="s">
        <v>390</v>
      </c>
      <c r="W33" s="47" t="s">
        <v>230</v>
      </c>
      <c r="X33" s="47" t="s">
        <v>230</v>
      </c>
      <c r="Y33" s="47" t="s">
        <v>248</v>
      </c>
      <c r="Z33" s="47" t="s">
        <v>230</v>
      </c>
      <c r="AA33" s="47" t="s">
        <v>230</v>
      </c>
      <c r="AB33" s="47" t="s">
        <v>230</v>
      </c>
      <c r="AC33" s="49"/>
      <c r="AD33" s="49"/>
      <c r="AE33" s="49"/>
      <c r="AF33" s="49"/>
      <c r="AG33" s="49"/>
      <c r="AH33" s="49"/>
    </row>
    <row r="34" spans="1:34" ht="27" customHeight="1">
      <c r="A34" s="46">
        <v>32</v>
      </c>
      <c r="B34" s="47" t="s">
        <v>107</v>
      </c>
      <c r="C34" s="47" t="s">
        <v>22</v>
      </c>
      <c r="D34" s="47" t="s">
        <v>15</v>
      </c>
      <c r="E34" s="47" t="s">
        <v>108</v>
      </c>
      <c r="F34" s="50">
        <v>42282</v>
      </c>
      <c r="G34" s="46" t="s">
        <v>228</v>
      </c>
      <c r="H34" s="47" t="s">
        <v>229</v>
      </c>
      <c r="I34" s="47" t="s">
        <v>391</v>
      </c>
      <c r="J34" s="47" t="s">
        <v>230</v>
      </c>
      <c r="K34" s="47" t="s">
        <v>264</v>
      </c>
      <c r="L34" s="47" t="s">
        <v>242</v>
      </c>
      <c r="M34" s="47" t="s">
        <v>285</v>
      </c>
      <c r="N34" s="47" t="s">
        <v>37</v>
      </c>
      <c r="O34" s="47" t="s">
        <v>392</v>
      </c>
      <c r="P34" s="47" t="s">
        <v>22</v>
      </c>
      <c r="Q34" s="47" t="s">
        <v>393</v>
      </c>
      <c r="R34" s="47" t="s">
        <v>230</v>
      </c>
      <c r="S34" s="47" t="s">
        <v>230</v>
      </c>
      <c r="T34" s="47" t="s">
        <v>230</v>
      </c>
      <c r="U34" s="47" t="s">
        <v>394</v>
      </c>
      <c r="V34" s="47" t="s">
        <v>395</v>
      </c>
      <c r="W34" s="47" t="s">
        <v>230</v>
      </c>
      <c r="X34" s="47" t="s">
        <v>230</v>
      </c>
      <c r="Y34" s="47" t="s">
        <v>396</v>
      </c>
      <c r="Z34" s="47" t="s">
        <v>230</v>
      </c>
      <c r="AA34" s="47" t="s">
        <v>230</v>
      </c>
      <c r="AB34" s="47" t="s">
        <v>230</v>
      </c>
      <c r="AC34" s="49"/>
      <c r="AD34" s="49"/>
      <c r="AE34" s="49"/>
      <c r="AF34" s="49"/>
      <c r="AG34" s="49"/>
      <c r="AH34" s="49"/>
    </row>
    <row r="35" spans="1:34" ht="27" customHeight="1">
      <c r="A35" s="46">
        <v>33</v>
      </c>
      <c r="B35" s="47" t="s">
        <v>109</v>
      </c>
      <c r="C35" s="47" t="s">
        <v>41</v>
      </c>
      <c r="D35" s="47" t="s">
        <v>110</v>
      </c>
      <c r="E35" s="47" t="s">
        <v>108</v>
      </c>
      <c r="F35" s="50">
        <v>42142</v>
      </c>
      <c r="G35" s="46" t="s">
        <v>228</v>
      </c>
      <c r="H35" s="47" t="s">
        <v>229</v>
      </c>
      <c r="I35" s="47" t="s">
        <v>230</v>
      </c>
      <c r="J35" s="47" t="s">
        <v>230</v>
      </c>
      <c r="K35" s="47" t="s">
        <v>230</v>
      </c>
      <c r="L35" s="47" t="s">
        <v>230</v>
      </c>
      <c r="M35" s="47" t="s">
        <v>285</v>
      </c>
      <c r="N35" s="47" t="s">
        <v>37</v>
      </c>
      <c r="O35" s="47" t="s">
        <v>397</v>
      </c>
      <c r="P35" s="47" t="s">
        <v>41</v>
      </c>
      <c r="Q35" s="47" t="s">
        <v>398</v>
      </c>
      <c r="R35" s="47" t="s">
        <v>230</v>
      </c>
      <c r="S35" s="47" t="s">
        <v>230</v>
      </c>
      <c r="T35" s="47" t="s">
        <v>230</v>
      </c>
      <c r="U35" s="47" t="s">
        <v>399</v>
      </c>
      <c r="V35" s="47" t="s">
        <v>400</v>
      </c>
      <c r="W35" s="47" t="s">
        <v>230</v>
      </c>
      <c r="X35" s="47" t="s">
        <v>230</v>
      </c>
      <c r="Y35" s="47" t="s">
        <v>248</v>
      </c>
      <c r="Z35" s="47" t="s">
        <v>230</v>
      </c>
      <c r="AA35" s="47" t="s">
        <v>230</v>
      </c>
      <c r="AB35" s="47" t="s">
        <v>230</v>
      </c>
      <c r="AC35" s="49"/>
      <c r="AD35" s="49"/>
      <c r="AE35" s="49"/>
      <c r="AF35" s="49"/>
      <c r="AG35" s="49"/>
      <c r="AH35" s="49"/>
    </row>
    <row r="36" spans="1:34" ht="27" customHeight="1">
      <c r="A36" s="46">
        <v>34</v>
      </c>
      <c r="B36" s="47" t="s">
        <v>111</v>
      </c>
      <c r="C36" s="47" t="s">
        <v>22</v>
      </c>
      <c r="D36" s="47" t="s">
        <v>112</v>
      </c>
      <c r="E36" s="47" t="s">
        <v>113</v>
      </c>
      <c r="F36" s="50">
        <v>42193</v>
      </c>
      <c r="G36" s="46" t="s">
        <v>228</v>
      </c>
      <c r="H36" s="47" t="s">
        <v>229</v>
      </c>
      <c r="I36" s="47" t="s">
        <v>401</v>
      </c>
      <c r="J36" s="47" t="s">
        <v>230</v>
      </c>
      <c r="K36" s="47" t="s">
        <v>264</v>
      </c>
      <c r="L36" s="47" t="s">
        <v>242</v>
      </c>
      <c r="M36" s="47" t="s">
        <v>277</v>
      </c>
      <c r="N36" s="47" t="s">
        <v>304</v>
      </c>
      <c r="O36" s="47" t="s">
        <v>402</v>
      </c>
      <c r="P36" s="47" t="s">
        <v>237</v>
      </c>
      <c r="Q36" s="47" t="s">
        <v>403</v>
      </c>
      <c r="R36" s="47" t="s">
        <v>230</v>
      </c>
      <c r="S36" s="47" t="s">
        <v>230</v>
      </c>
      <c r="T36" s="47" t="s">
        <v>230</v>
      </c>
      <c r="U36" s="47" t="s">
        <v>404</v>
      </c>
      <c r="V36" s="47" t="s">
        <v>405</v>
      </c>
      <c r="W36" s="47" t="s">
        <v>230</v>
      </c>
      <c r="X36" s="47" t="s">
        <v>230</v>
      </c>
      <c r="Y36" s="47" t="s">
        <v>230</v>
      </c>
      <c r="Z36" s="47" t="s">
        <v>230</v>
      </c>
      <c r="AA36" s="47" t="s">
        <v>230</v>
      </c>
      <c r="AB36" s="47" t="s">
        <v>230</v>
      </c>
      <c r="AC36" s="49"/>
      <c r="AD36" s="49"/>
      <c r="AE36" s="49"/>
      <c r="AF36" s="49"/>
      <c r="AG36" s="49"/>
      <c r="AH36" s="49"/>
    </row>
    <row r="37" spans="1:34" ht="27" customHeight="1">
      <c r="A37" s="46">
        <v>35</v>
      </c>
      <c r="B37" s="47" t="s">
        <v>114</v>
      </c>
      <c r="C37" s="47" t="s">
        <v>22</v>
      </c>
      <c r="D37" s="47" t="s">
        <v>115</v>
      </c>
      <c r="E37" s="47" t="s">
        <v>116</v>
      </c>
      <c r="F37" s="50">
        <v>42042</v>
      </c>
      <c r="G37" s="46" t="s">
        <v>228</v>
      </c>
      <c r="H37" s="47" t="s">
        <v>229</v>
      </c>
      <c r="I37" s="47" t="s">
        <v>336</v>
      </c>
      <c r="J37" s="47" t="s">
        <v>284</v>
      </c>
      <c r="K37" s="47" t="s">
        <v>264</v>
      </c>
      <c r="L37" s="47" t="s">
        <v>242</v>
      </c>
      <c r="M37" s="47" t="s">
        <v>230</v>
      </c>
      <c r="N37" s="47" t="s">
        <v>406</v>
      </c>
      <c r="O37" s="47" t="s">
        <v>407</v>
      </c>
      <c r="P37" s="47" t="s">
        <v>22</v>
      </c>
      <c r="Q37" s="47" t="s">
        <v>408</v>
      </c>
      <c r="R37" s="47" t="s">
        <v>230</v>
      </c>
      <c r="S37" s="47" t="s">
        <v>230</v>
      </c>
      <c r="T37" s="47" t="s">
        <v>230</v>
      </c>
      <c r="U37" s="47" t="s">
        <v>409</v>
      </c>
      <c r="V37" s="47" t="s">
        <v>230</v>
      </c>
      <c r="W37" s="47" t="s">
        <v>230</v>
      </c>
      <c r="X37" s="47" t="s">
        <v>230</v>
      </c>
      <c r="Y37" s="47" t="s">
        <v>356</v>
      </c>
      <c r="Z37" s="47" t="s">
        <v>230</v>
      </c>
      <c r="AA37" s="47" t="s">
        <v>230</v>
      </c>
      <c r="AB37" s="47" t="s">
        <v>230</v>
      </c>
      <c r="AC37" s="49"/>
      <c r="AD37" s="49"/>
      <c r="AE37" s="49"/>
      <c r="AF37" s="49"/>
      <c r="AG37" s="49"/>
      <c r="AH37" s="49"/>
    </row>
    <row r="38" spans="1:34" ht="27" customHeight="1">
      <c r="A38" s="46">
        <v>36</v>
      </c>
      <c r="B38" s="47" t="s">
        <v>117</v>
      </c>
      <c r="C38" s="47" t="s">
        <v>99</v>
      </c>
      <c r="D38" s="47" t="s">
        <v>118</v>
      </c>
      <c r="E38" s="47" t="s">
        <v>119</v>
      </c>
      <c r="F38" s="48">
        <v>42328</v>
      </c>
      <c r="G38" s="46" t="s">
        <v>228</v>
      </c>
      <c r="H38" s="47" t="s">
        <v>106</v>
      </c>
      <c r="I38" s="47" t="s">
        <v>230</v>
      </c>
      <c r="J38" s="47" t="s">
        <v>230</v>
      </c>
      <c r="K38" s="47" t="s">
        <v>230</v>
      </c>
      <c r="L38" s="47" t="s">
        <v>230</v>
      </c>
      <c r="M38" s="47" t="s">
        <v>230</v>
      </c>
      <c r="N38" s="47" t="s">
        <v>230</v>
      </c>
      <c r="O38" s="47" t="s">
        <v>230</v>
      </c>
      <c r="P38" s="47" t="s">
        <v>230</v>
      </c>
      <c r="Q38" s="47" t="s">
        <v>230</v>
      </c>
      <c r="R38" s="47" t="s">
        <v>230</v>
      </c>
      <c r="S38" s="47" t="s">
        <v>230</v>
      </c>
      <c r="T38" s="47" t="s">
        <v>230</v>
      </c>
      <c r="U38" s="47" t="s">
        <v>230</v>
      </c>
      <c r="V38" s="47" t="s">
        <v>230</v>
      </c>
      <c r="W38" s="47" t="s">
        <v>230</v>
      </c>
      <c r="X38" s="47" t="s">
        <v>230</v>
      </c>
      <c r="Y38" s="47" t="s">
        <v>230</v>
      </c>
      <c r="Z38" s="47" t="s">
        <v>230</v>
      </c>
      <c r="AA38" s="47" t="s">
        <v>230</v>
      </c>
      <c r="AB38" s="47" t="s">
        <v>230</v>
      </c>
      <c r="AC38" s="49"/>
      <c r="AD38" s="49"/>
      <c r="AE38" s="49"/>
      <c r="AF38" s="49"/>
      <c r="AG38" s="49"/>
      <c r="AH38" s="49"/>
    </row>
    <row r="39" spans="1:34" ht="27" customHeight="1">
      <c r="A39" s="46">
        <v>37</v>
      </c>
      <c r="B39" s="47" t="s">
        <v>120</v>
      </c>
      <c r="C39" s="47" t="s">
        <v>121</v>
      </c>
      <c r="D39" s="47" t="s">
        <v>122</v>
      </c>
      <c r="E39" s="47" t="s">
        <v>123</v>
      </c>
      <c r="F39" s="50">
        <v>42079</v>
      </c>
      <c r="G39" s="46" t="s">
        <v>228</v>
      </c>
      <c r="H39" s="47" t="s">
        <v>106</v>
      </c>
      <c r="I39" s="47" t="s">
        <v>410</v>
      </c>
      <c r="J39" s="47" t="s">
        <v>230</v>
      </c>
      <c r="K39" s="47" t="s">
        <v>264</v>
      </c>
      <c r="L39" s="47" t="s">
        <v>242</v>
      </c>
      <c r="M39" s="47" t="s">
        <v>277</v>
      </c>
      <c r="N39" s="47" t="s">
        <v>61</v>
      </c>
      <c r="O39" s="47" t="s">
        <v>411</v>
      </c>
      <c r="P39" s="47" t="s">
        <v>412</v>
      </c>
      <c r="Q39" s="47" t="s">
        <v>413</v>
      </c>
      <c r="R39" s="47" t="s">
        <v>230</v>
      </c>
      <c r="S39" s="47" t="s">
        <v>230</v>
      </c>
      <c r="T39" s="47" t="s">
        <v>230</v>
      </c>
      <c r="U39" s="47" t="s">
        <v>414</v>
      </c>
      <c r="V39" s="47" t="s">
        <v>415</v>
      </c>
      <c r="W39" s="47" t="s">
        <v>230</v>
      </c>
      <c r="X39" s="47" t="s">
        <v>230</v>
      </c>
      <c r="Y39" s="47" t="s">
        <v>343</v>
      </c>
      <c r="Z39" s="47" t="s">
        <v>230</v>
      </c>
      <c r="AA39" s="47" t="s">
        <v>230</v>
      </c>
      <c r="AB39" s="47" t="s">
        <v>230</v>
      </c>
      <c r="AC39" s="49"/>
      <c r="AD39" s="49"/>
      <c r="AE39" s="49"/>
      <c r="AF39" s="49"/>
      <c r="AG39" s="49"/>
      <c r="AH39" s="49"/>
    </row>
    <row r="40" spans="1:34" ht="27" customHeight="1">
      <c r="A40" s="46">
        <v>38</v>
      </c>
      <c r="B40" s="47" t="s">
        <v>124</v>
      </c>
      <c r="C40" s="47" t="s">
        <v>22</v>
      </c>
      <c r="D40" s="47" t="s">
        <v>125</v>
      </c>
      <c r="E40" s="47" t="s">
        <v>123</v>
      </c>
      <c r="F40" s="50">
        <v>42180</v>
      </c>
      <c r="G40" s="46" t="s">
        <v>228</v>
      </c>
      <c r="H40" s="47" t="s">
        <v>229</v>
      </c>
      <c r="I40" s="47" t="s">
        <v>416</v>
      </c>
      <c r="J40" s="47" t="s">
        <v>417</v>
      </c>
      <c r="K40" s="47" t="s">
        <v>264</v>
      </c>
      <c r="L40" s="47" t="s">
        <v>242</v>
      </c>
      <c r="M40" s="47" t="s">
        <v>230</v>
      </c>
      <c r="N40" s="47" t="s">
        <v>254</v>
      </c>
      <c r="O40" s="47" t="s">
        <v>418</v>
      </c>
      <c r="P40" s="47" t="s">
        <v>22</v>
      </c>
      <c r="Q40" s="47" t="s">
        <v>419</v>
      </c>
      <c r="R40" s="47" t="s">
        <v>230</v>
      </c>
      <c r="S40" s="47" t="s">
        <v>230</v>
      </c>
      <c r="T40" s="47" t="s">
        <v>230</v>
      </c>
      <c r="U40" s="47" t="s">
        <v>420</v>
      </c>
      <c r="V40" s="47" t="s">
        <v>421</v>
      </c>
      <c r="W40" s="47" t="s">
        <v>230</v>
      </c>
      <c r="X40" s="47" t="s">
        <v>230</v>
      </c>
      <c r="Y40" s="47" t="s">
        <v>422</v>
      </c>
      <c r="Z40" s="47" t="s">
        <v>230</v>
      </c>
      <c r="AA40" s="47" t="s">
        <v>230</v>
      </c>
      <c r="AB40" s="47" t="s">
        <v>230</v>
      </c>
      <c r="AC40" s="49"/>
      <c r="AD40" s="49"/>
      <c r="AE40" s="49"/>
      <c r="AF40" s="49"/>
      <c r="AG40" s="49"/>
      <c r="AH40" s="49"/>
    </row>
    <row r="41" spans="1:34" ht="27" customHeight="1">
      <c r="A41" s="46">
        <v>39</v>
      </c>
      <c r="B41" s="47" t="s">
        <v>126</v>
      </c>
      <c r="C41" s="47" t="s">
        <v>127</v>
      </c>
      <c r="D41" s="47" t="s">
        <v>128</v>
      </c>
      <c r="E41" s="47" t="s">
        <v>123</v>
      </c>
      <c r="F41" s="50">
        <v>41700</v>
      </c>
      <c r="G41" s="46" t="s">
        <v>228</v>
      </c>
      <c r="H41" s="47" t="s">
        <v>106</v>
      </c>
      <c r="I41" s="47" t="s">
        <v>423</v>
      </c>
      <c r="J41" s="47" t="s">
        <v>230</v>
      </c>
      <c r="K41" s="47" t="s">
        <v>424</v>
      </c>
      <c r="L41" s="47" t="s">
        <v>242</v>
      </c>
      <c r="M41" s="47" t="s">
        <v>230</v>
      </c>
      <c r="N41" s="47" t="s">
        <v>127</v>
      </c>
      <c r="O41" s="47" t="s">
        <v>425</v>
      </c>
      <c r="P41" s="47" t="s">
        <v>22</v>
      </c>
      <c r="Q41" s="47" t="s">
        <v>426</v>
      </c>
      <c r="R41" s="47" t="s">
        <v>230</v>
      </c>
      <c r="S41" s="47" t="s">
        <v>230</v>
      </c>
      <c r="T41" s="47" t="s">
        <v>230</v>
      </c>
      <c r="U41" s="47" t="s">
        <v>427</v>
      </c>
      <c r="V41" s="47" t="s">
        <v>230</v>
      </c>
      <c r="W41" s="47" t="s">
        <v>230</v>
      </c>
      <c r="X41" s="47" t="s">
        <v>230</v>
      </c>
      <c r="Y41" s="47" t="s">
        <v>428</v>
      </c>
      <c r="Z41" s="47" t="s">
        <v>230</v>
      </c>
      <c r="AA41" s="47" t="s">
        <v>230</v>
      </c>
      <c r="AB41" s="47" t="s">
        <v>230</v>
      </c>
      <c r="AC41" s="49"/>
      <c r="AD41" s="49"/>
      <c r="AE41" s="49"/>
      <c r="AF41" s="49"/>
      <c r="AG41" s="49"/>
      <c r="AH41" s="49"/>
    </row>
    <row r="42" spans="1:34" ht="27" customHeight="1">
      <c r="A42" s="46">
        <v>40</v>
      </c>
      <c r="B42" s="47" t="s">
        <v>129</v>
      </c>
      <c r="C42" s="47" t="s">
        <v>99</v>
      </c>
      <c r="D42" s="47" t="s">
        <v>130</v>
      </c>
      <c r="E42" s="47" t="s">
        <v>131</v>
      </c>
      <c r="F42" s="50">
        <v>42099</v>
      </c>
      <c r="G42" s="46" t="s">
        <v>228</v>
      </c>
      <c r="H42" s="47" t="s">
        <v>106</v>
      </c>
      <c r="I42" s="47" t="s">
        <v>429</v>
      </c>
      <c r="J42" s="47" t="s">
        <v>284</v>
      </c>
      <c r="K42" s="47" t="s">
        <v>264</v>
      </c>
      <c r="L42" s="47" t="s">
        <v>242</v>
      </c>
      <c r="M42" s="47" t="s">
        <v>337</v>
      </c>
      <c r="N42" s="47" t="s">
        <v>254</v>
      </c>
      <c r="O42" s="47" t="s">
        <v>430</v>
      </c>
      <c r="P42" s="47" t="s">
        <v>22</v>
      </c>
      <c r="Q42" s="47" t="s">
        <v>431</v>
      </c>
      <c r="R42" s="47" t="s">
        <v>230</v>
      </c>
      <c r="S42" s="47" t="s">
        <v>230</v>
      </c>
      <c r="T42" s="47" t="s">
        <v>230</v>
      </c>
      <c r="U42" s="47" t="s">
        <v>432</v>
      </c>
      <c r="V42" s="47" t="s">
        <v>433</v>
      </c>
      <c r="W42" s="47" t="s">
        <v>230</v>
      </c>
      <c r="X42" s="47" t="s">
        <v>230</v>
      </c>
      <c r="Y42" s="47" t="s">
        <v>434</v>
      </c>
      <c r="Z42" s="47" t="s">
        <v>230</v>
      </c>
      <c r="AA42" s="47" t="s">
        <v>230</v>
      </c>
      <c r="AB42" s="47" t="s">
        <v>230</v>
      </c>
      <c r="AC42" s="49"/>
      <c r="AD42" s="49"/>
      <c r="AE42" s="49"/>
      <c r="AF42" s="49"/>
      <c r="AG42" s="49"/>
      <c r="AH42" s="49"/>
    </row>
    <row r="43" spans="1:34" ht="27" customHeight="1">
      <c r="A43" s="46">
        <v>41</v>
      </c>
      <c r="B43" s="47" t="s">
        <v>132</v>
      </c>
      <c r="C43" s="47" t="s">
        <v>61</v>
      </c>
      <c r="D43" s="47" t="s">
        <v>133</v>
      </c>
      <c r="E43" s="47" t="s">
        <v>134</v>
      </c>
      <c r="F43" s="50">
        <v>41497</v>
      </c>
      <c r="G43" s="46" t="s">
        <v>228</v>
      </c>
      <c r="H43" s="47" t="s">
        <v>106</v>
      </c>
      <c r="I43" s="47" t="s">
        <v>435</v>
      </c>
      <c r="J43" s="47" t="s">
        <v>230</v>
      </c>
      <c r="K43" s="47" t="s">
        <v>264</v>
      </c>
      <c r="L43" s="47" t="s">
        <v>242</v>
      </c>
      <c r="M43" s="47" t="s">
        <v>230</v>
      </c>
      <c r="N43" s="47" t="s">
        <v>61</v>
      </c>
      <c r="O43" s="47" t="s">
        <v>436</v>
      </c>
      <c r="P43" s="47" t="s">
        <v>437</v>
      </c>
      <c r="Q43" s="47" t="s">
        <v>438</v>
      </c>
      <c r="R43" s="47" t="s">
        <v>230</v>
      </c>
      <c r="S43" s="47" t="s">
        <v>230</v>
      </c>
      <c r="T43" s="47" t="s">
        <v>230</v>
      </c>
      <c r="U43" s="47" t="s">
        <v>439</v>
      </c>
      <c r="V43" s="47" t="s">
        <v>439</v>
      </c>
      <c r="W43" s="47" t="s">
        <v>230</v>
      </c>
      <c r="X43" s="47" t="s">
        <v>230</v>
      </c>
      <c r="Y43" s="47" t="s">
        <v>440</v>
      </c>
      <c r="Z43" s="47" t="s">
        <v>230</v>
      </c>
      <c r="AA43" s="47" t="s">
        <v>230</v>
      </c>
      <c r="AB43" s="47" t="s">
        <v>230</v>
      </c>
      <c r="AC43" s="49"/>
      <c r="AD43" s="49"/>
      <c r="AE43" s="49"/>
      <c r="AF43" s="49"/>
      <c r="AG43" s="49"/>
      <c r="AH43" s="49"/>
    </row>
    <row r="44" spans="1:34" ht="27" customHeight="1">
      <c r="A44" s="46">
        <v>42</v>
      </c>
      <c r="B44" s="47" t="s">
        <v>135</v>
      </c>
      <c r="C44" s="47" t="s">
        <v>41</v>
      </c>
      <c r="D44" s="47" t="s">
        <v>136</v>
      </c>
      <c r="E44" s="47" t="s">
        <v>137</v>
      </c>
      <c r="F44" s="50">
        <v>41826</v>
      </c>
      <c r="G44" s="46" t="s">
        <v>228</v>
      </c>
      <c r="H44" s="47" t="s">
        <v>229</v>
      </c>
      <c r="I44" s="47" t="s">
        <v>230</v>
      </c>
      <c r="J44" s="47" t="s">
        <v>230</v>
      </c>
      <c r="K44" s="47" t="s">
        <v>230</v>
      </c>
      <c r="L44" s="47" t="s">
        <v>230</v>
      </c>
      <c r="M44" s="47" t="s">
        <v>230</v>
      </c>
      <c r="N44" s="47" t="s">
        <v>441</v>
      </c>
      <c r="O44" s="47" t="s">
        <v>442</v>
      </c>
      <c r="P44" s="47" t="s">
        <v>41</v>
      </c>
      <c r="Q44" s="47" t="s">
        <v>443</v>
      </c>
      <c r="R44" s="47" t="s">
        <v>230</v>
      </c>
      <c r="S44" s="47" t="s">
        <v>230</v>
      </c>
      <c r="T44" s="47" t="s">
        <v>230</v>
      </c>
      <c r="U44" s="47" t="s">
        <v>230</v>
      </c>
      <c r="V44" s="47" t="s">
        <v>230</v>
      </c>
      <c r="W44" s="47" t="s">
        <v>230</v>
      </c>
      <c r="X44" s="47" t="s">
        <v>230</v>
      </c>
      <c r="Y44" s="47" t="s">
        <v>444</v>
      </c>
      <c r="Z44" s="47" t="s">
        <v>230</v>
      </c>
      <c r="AA44" s="47" t="s">
        <v>230</v>
      </c>
      <c r="AB44" s="47" t="s">
        <v>230</v>
      </c>
      <c r="AC44" s="49"/>
      <c r="AD44" s="49"/>
      <c r="AE44" s="49"/>
      <c r="AF44" s="49"/>
      <c r="AG44" s="49"/>
      <c r="AH44" s="49"/>
    </row>
    <row r="45" spans="1:34" ht="27" customHeight="1">
      <c r="A45" s="46">
        <v>43</v>
      </c>
      <c r="B45" s="47" t="s">
        <v>138</v>
      </c>
      <c r="C45" s="47" t="s">
        <v>32</v>
      </c>
      <c r="D45" s="47" t="s">
        <v>139</v>
      </c>
      <c r="E45" s="47" t="s">
        <v>140</v>
      </c>
      <c r="F45" s="50">
        <v>42185</v>
      </c>
      <c r="G45" s="46" t="s">
        <v>228</v>
      </c>
      <c r="H45" s="47" t="s">
        <v>229</v>
      </c>
      <c r="I45" s="47" t="s">
        <v>230</v>
      </c>
      <c r="J45" s="47" t="s">
        <v>230</v>
      </c>
      <c r="K45" s="47" t="s">
        <v>230</v>
      </c>
      <c r="L45" s="47" t="s">
        <v>230</v>
      </c>
      <c r="M45" s="47" t="s">
        <v>230</v>
      </c>
      <c r="N45" s="47" t="s">
        <v>445</v>
      </c>
      <c r="O45" s="47" t="s">
        <v>446</v>
      </c>
      <c r="P45" s="47" t="s">
        <v>41</v>
      </c>
      <c r="Q45" s="47" t="s">
        <v>447</v>
      </c>
      <c r="R45" s="47" t="s">
        <v>230</v>
      </c>
      <c r="S45" s="47" t="s">
        <v>230</v>
      </c>
      <c r="T45" s="47" t="s">
        <v>230</v>
      </c>
      <c r="U45" s="47" t="s">
        <v>448</v>
      </c>
      <c r="V45" s="47" t="s">
        <v>449</v>
      </c>
      <c r="W45" s="47" t="s">
        <v>230</v>
      </c>
      <c r="X45" s="47" t="s">
        <v>230</v>
      </c>
      <c r="Y45" s="47" t="s">
        <v>450</v>
      </c>
      <c r="Z45" s="47" t="s">
        <v>230</v>
      </c>
      <c r="AA45" s="47" t="s">
        <v>230</v>
      </c>
      <c r="AB45" s="47" t="s">
        <v>230</v>
      </c>
      <c r="AC45" s="49"/>
      <c r="AD45" s="49"/>
      <c r="AE45" s="49"/>
      <c r="AF45" s="49"/>
      <c r="AG45" s="49"/>
      <c r="AH45" s="49"/>
    </row>
    <row r="46" spans="1:34" ht="27" customHeight="1">
      <c r="A46" s="46">
        <v>44</v>
      </c>
      <c r="B46" s="47" t="s">
        <v>141</v>
      </c>
      <c r="C46" s="47" t="s">
        <v>41</v>
      </c>
      <c r="D46" s="47" t="s">
        <v>128</v>
      </c>
      <c r="E46" s="47" t="s">
        <v>142</v>
      </c>
      <c r="F46" s="50">
        <v>42254</v>
      </c>
      <c r="G46" s="46" t="s">
        <v>228</v>
      </c>
      <c r="H46" s="47" t="s">
        <v>229</v>
      </c>
      <c r="I46" s="47" t="s">
        <v>451</v>
      </c>
      <c r="J46" s="47" t="s">
        <v>230</v>
      </c>
      <c r="K46" s="47" t="s">
        <v>264</v>
      </c>
      <c r="L46" s="47" t="s">
        <v>242</v>
      </c>
      <c r="M46" s="47" t="s">
        <v>254</v>
      </c>
      <c r="N46" s="47" t="s">
        <v>352</v>
      </c>
      <c r="O46" s="47" t="s">
        <v>452</v>
      </c>
      <c r="P46" s="47" t="s">
        <v>41</v>
      </c>
      <c r="Q46" s="47" t="s">
        <v>453</v>
      </c>
      <c r="R46" s="47" t="s">
        <v>230</v>
      </c>
      <c r="S46" s="47" t="s">
        <v>230</v>
      </c>
      <c r="T46" s="47" t="s">
        <v>230</v>
      </c>
      <c r="U46" s="47" t="s">
        <v>454</v>
      </c>
      <c r="V46" s="47" t="s">
        <v>455</v>
      </c>
      <c r="W46" s="47" t="s">
        <v>230</v>
      </c>
      <c r="X46" s="47" t="s">
        <v>230</v>
      </c>
      <c r="Y46" s="47" t="s">
        <v>396</v>
      </c>
      <c r="Z46" s="47" t="s">
        <v>230</v>
      </c>
      <c r="AA46" s="47" t="s">
        <v>230</v>
      </c>
      <c r="AB46" s="47" t="s">
        <v>230</v>
      </c>
      <c r="AC46" s="49"/>
      <c r="AD46" s="49"/>
      <c r="AE46" s="49"/>
      <c r="AF46" s="49"/>
      <c r="AG46" s="49"/>
      <c r="AH46" s="49"/>
    </row>
    <row r="47" spans="1:34" ht="27" customHeight="1">
      <c r="A47" s="46">
        <v>45</v>
      </c>
      <c r="B47" s="47" t="s">
        <v>143</v>
      </c>
      <c r="C47" s="47" t="s">
        <v>22</v>
      </c>
      <c r="D47" s="47" t="s">
        <v>144</v>
      </c>
      <c r="E47" s="47" t="s">
        <v>145</v>
      </c>
      <c r="F47" s="50">
        <v>42273</v>
      </c>
      <c r="G47" s="46" t="s">
        <v>228</v>
      </c>
      <c r="H47" s="47" t="s">
        <v>229</v>
      </c>
      <c r="I47" s="47" t="s">
        <v>230</v>
      </c>
      <c r="J47" s="47" t="s">
        <v>230</v>
      </c>
      <c r="K47" s="47" t="s">
        <v>230</v>
      </c>
      <c r="L47" s="47" t="s">
        <v>230</v>
      </c>
      <c r="M47" s="47" t="s">
        <v>230</v>
      </c>
      <c r="N47" s="47" t="s">
        <v>230</v>
      </c>
      <c r="O47" s="47" t="s">
        <v>230</v>
      </c>
      <c r="P47" s="47" t="s">
        <v>230</v>
      </c>
      <c r="Q47" s="47" t="s">
        <v>230</v>
      </c>
      <c r="R47" s="47" t="s">
        <v>230</v>
      </c>
      <c r="S47" s="47" t="s">
        <v>230</v>
      </c>
      <c r="T47" s="47" t="s">
        <v>230</v>
      </c>
      <c r="U47" s="47" t="s">
        <v>230</v>
      </c>
      <c r="V47" s="47" t="s">
        <v>230</v>
      </c>
      <c r="W47" s="47" t="s">
        <v>230</v>
      </c>
      <c r="X47" s="47" t="s">
        <v>230</v>
      </c>
      <c r="Y47" s="47" t="s">
        <v>230</v>
      </c>
      <c r="Z47" s="47" t="s">
        <v>230</v>
      </c>
      <c r="AA47" s="47" t="s">
        <v>230</v>
      </c>
      <c r="AB47" s="47" t="s">
        <v>230</v>
      </c>
      <c r="AC47" s="49"/>
      <c r="AD47" s="49"/>
      <c r="AE47" s="49"/>
      <c r="AF47" s="49"/>
      <c r="AG47" s="49"/>
      <c r="AH47" s="49"/>
    </row>
    <row r="48" spans="1:34" ht="27" customHeight="1">
      <c r="A48" s="46">
        <v>46</v>
      </c>
      <c r="B48" s="47" t="s">
        <v>146</v>
      </c>
      <c r="C48" s="47" t="s">
        <v>22</v>
      </c>
      <c r="D48" s="47" t="s">
        <v>147</v>
      </c>
      <c r="E48" s="47" t="s">
        <v>148</v>
      </c>
      <c r="F48" s="50">
        <v>42044</v>
      </c>
      <c r="G48" s="46" t="s">
        <v>228</v>
      </c>
      <c r="H48" s="47" t="s">
        <v>229</v>
      </c>
      <c r="I48" s="47" t="s">
        <v>456</v>
      </c>
      <c r="J48" s="47" t="s">
        <v>457</v>
      </c>
      <c r="K48" s="47" t="s">
        <v>458</v>
      </c>
      <c r="L48" s="47" t="s">
        <v>242</v>
      </c>
      <c r="M48" s="47" t="s">
        <v>230</v>
      </c>
      <c r="N48" s="47" t="s">
        <v>230</v>
      </c>
      <c r="O48" s="47" t="s">
        <v>459</v>
      </c>
      <c r="P48" s="47" t="s">
        <v>460</v>
      </c>
      <c r="Q48" s="47" t="s">
        <v>461</v>
      </c>
      <c r="R48" s="47" t="s">
        <v>230</v>
      </c>
      <c r="S48" s="47" t="s">
        <v>230</v>
      </c>
      <c r="T48" s="47" t="s">
        <v>230</v>
      </c>
      <c r="U48" s="47" t="s">
        <v>462</v>
      </c>
      <c r="V48" s="47" t="s">
        <v>463</v>
      </c>
      <c r="W48" s="47" t="s">
        <v>230</v>
      </c>
      <c r="X48" s="47" t="s">
        <v>230</v>
      </c>
      <c r="Y48" s="47" t="s">
        <v>464</v>
      </c>
      <c r="Z48" s="47" t="s">
        <v>230</v>
      </c>
      <c r="AA48" s="47" t="s">
        <v>230</v>
      </c>
      <c r="AB48" s="47" t="s">
        <v>230</v>
      </c>
      <c r="AC48" s="49"/>
      <c r="AD48" s="49"/>
      <c r="AE48" s="49"/>
      <c r="AF48" s="49"/>
      <c r="AG48" s="49"/>
      <c r="AH48" s="49"/>
    </row>
    <row r="49" spans="1:34" ht="21" customHeight="1">
      <c r="A49" s="46">
        <v>47</v>
      </c>
      <c r="B49" s="52" t="s">
        <v>149</v>
      </c>
      <c r="C49" s="53" t="s">
        <v>150</v>
      </c>
      <c r="D49" s="53" t="s">
        <v>151</v>
      </c>
      <c r="E49" s="53" t="s">
        <v>108</v>
      </c>
      <c r="F49" s="54">
        <v>42113</v>
      </c>
      <c r="G49" s="53" t="s">
        <v>228</v>
      </c>
      <c r="H49" s="53" t="s">
        <v>465</v>
      </c>
      <c r="I49" s="53" t="s">
        <v>466</v>
      </c>
      <c r="J49" s="53" t="s">
        <v>467</v>
      </c>
      <c r="K49" s="53" t="s">
        <v>241</v>
      </c>
      <c r="L49" s="53">
        <v>12</v>
      </c>
      <c r="M49" s="53" t="s">
        <v>468</v>
      </c>
      <c r="N49" s="53" t="s">
        <v>469</v>
      </c>
      <c r="O49" s="53" t="s">
        <v>470</v>
      </c>
      <c r="P49" s="53" t="s">
        <v>471</v>
      </c>
      <c r="Q49" s="53" t="s">
        <v>472</v>
      </c>
      <c r="R49" s="53"/>
      <c r="S49" s="53"/>
      <c r="T49" s="53"/>
      <c r="U49" s="55" t="s">
        <v>473</v>
      </c>
      <c r="V49" s="55" t="s">
        <v>474</v>
      </c>
      <c r="W49" s="55"/>
      <c r="X49" s="53"/>
      <c r="Y49" s="56">
        <v>42155</v>
      </c>
      <c r="Z49" s="56">
        <v>45830</v>
      </c>
      <c r="AA49" s="53"/>
      <c r="AB49" s="53"/>
      <c r="AC49" s="57"/>
      <c r="AD49" s="57"/>
      <c r="AE49" s="57"/>
      <c r="AF49" s="57"/>
      <c r="AG49" s="57"/>
      <c r="AH49" s="57"/>
    </row>
    <row r="50" spans="1:34" ht="14.25" customHeight="1">
      <c r="A50" s="46">
        <v>48</v>
      </c>
      <c r="B50" s="46"/>
      <c r="C50" s="53" t="s">
        <v>152</v>
      </c>
      <c r="D50" s="53" t="s">
        <v>153</v>
      </c>
      <c r="E50" s="53" t="s">
        <v>154</v>
      </c>
      <c r="F50" s="58" t="s">
        <v>475</v>
      </c>
      <c r="G50" s="53" t="s">
        <v>228</v>
      </c>
      <c r="H50" s="53" t="s">
        <v>106</v>
      </c>
      <c r="I50" s="59"/>
      <c r="J50" s="59"/>
      <c r="K50" s="53" t="s">
        <v>241</v>
      </c>
      <c r="L50" s="53">
        <v>12</v>
      </c>
      <c r="M50" s="59"/>
      <c r="N50" s="53" t="s">
        <v>476</v>
      </c>
      <c r="O50" s="53" t="s">
        <v>477</v>
      </c>
      <c r="P50" s="53" t="s">
        <v>237</v>
      </c>
      <c r="Q50" s="53" t="s">
        <v>478</v>
      </c>
      <c r="R50" s="59"/>
      <c r="S50" s="59"/>
      <c r="T50" s="59"/>
      <c r="U50" s="59"/>
      <c r="V50" s="59"/>
      <c r="W50" s="59"/>
      <c r="X50" s="59"/>
      <c r="Y50" s="59"/>
      <c r="Z50" s="59"/>
      <c r="AA50" s="59"/>
      <c r="AB50" s="59"/>
    </row>
    <row r="51" spans="1:34" ht="14.25" customHeight="1"/>
    <row r="52" spans="1:34" ht="14.25" customHeight="1"/>
    <row r="53" spans="1:34" ht="14.25" customHeight="1"/>
    <row r="54" spans="1:34" ht="14.25" customHeight="1"/>
    <row r="55" spans="1:34" ht="14.25" customHeight="1"/>
    <row r="56" spans="1:34" ht="14.25" customHeight="1"/>
    <row r="57" spans="1:34" ht="14.25" customHeight="1"/>
    <row r="58" spans="1:34" ht="14.25" customHeight="1"/>
    <row r="59" spans="1:34" ht="14.25" customHeight="1"/>
    <row r="60" spans="1:34" ht="14.25" customHeight="1"/>
    <row r="61" spans="1:34" ht="14.25" customHeight="1"/>
    <row r="62" spans="1:34" ht="14.25" customHeight="1"/>
    <row r="63" spans="1:34" ht="14.25" customHeight="1"/>
    <row r="64" spans="1:3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5" right="0.75" top="1" bottom="1" header="0" footer="0"/>
  <pageSetup orientation="landscape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Lớp</vt:lpstr>
      <vt:lpstr>Điểm danh HK1</vt:lpstr>
      <vt:lpstr>Điểm HK1</vt:lpstr>
      <vt:lpstr>Dữ liệu thiếu nhi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2024-01-22T13:10:00Z</dcterms:created>
  <dcterms:modified xsi:type="dcterms:W3CDTF">2025-12-31T14:41:23Z</dcterms:modified>
</cp:coreProperties>
</file>